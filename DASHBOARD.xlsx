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1812" yWindow="1812" windowWidth="17280" windowHeight="8880" tabRatio="600" firstSheet="0" activeTab="1" autoFilterDateGrouping="1"/>
  </bookViews>
  <sheets>
    <sheet xmlns:r="http://schemas.openxmlformats.org/officeDocument/2006/relationships" name="Decks" sheetId="1" state="visible" r:id="rId1"/>
    <sheet xmlns:r="http://schemas.openxmlformats.org/officeDocument/2006/relationships" name="Slides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Issue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HowTo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 h:mm:ss"/>
    <numFmt numFmtId="166" formatCode="yyyy-mm-dd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sz val="12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9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16" fontId="0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FFEB9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style="9" min="1" max="1"/>
    <col width="46" customWidth="1" style="9" min="2" max="2"/>
    <col width="10" customWidth="1" style="9" min="3" max="3"/>
    <col width="16" customWidth="1" style="9" min="4" max="4"/>
    <col width="42" customWidth="1" style="9" min="5" max="5"/>
    <col width="12" customWidth="1" style="9" min="6" max="6"/>
    <col width="44" customWidth="1" style="9" min="7" max="7"/>
  </cols>
  <sheetData>
    <row r="1">
      <c r="A1" s="1" t="inlineStr">
        <is>
          <t>Deck_ID</t>
        </is>
      </c>
      <c r="B1" s="1" t="inlineStr">
        <is>
          <t>Deck_Name</t>
        </is>
      </c>
      <c r="C1" s="1" t="inlineStr">
        <is>
          <t>Priority</t>
        </is>
      </c>
      <c r="D1" s="1" t="inlineStr">
        <is>
          <t>Slides_Planned</t>
        </is>
      </c>
      <c r="E1" s="1" t="inlineStr">
        <is>
          <t>Format</t>
        </is>
      </c>
      <c r="F1" s="1" t="inlineStr">
        <is>
          <t>Deadline</t>
        </is>
      </c>
      <c r="G1" s="1" t="inlineStr">
        <is>
          <t>Notes</t>
        </is>
      </c>
    </row>
    <row r="2">
      <c r="A2" t="inlineStr">
        <is>
          <t>GRADE</t>
        </is>
      </c>
      <c r="B2" t="inlineStr">
        <is>
          <t>GRADE (Core GRADE 2026 – Magna Class v2.0.0)</t>
        </is>
      </c>
      <c r="C2" t="n">
        <v>1</v>
      </c>
      <c r="D2" t="n">
        <v>45</v>
      </c>
      <c r="E2" t="inlineStr">
        <is>
          <t>Full HTML (modular slides in src/slides)</t>
        </is>
      </c>
      <c r="F2" t="inlineStr">
        <is>
          <t>2026-02-10</t>
        </is>
      </c>
      <c r="G2" t="inlineStr">
        <is>
          <t>Active project. MVP deadline Feb 10, 2026. | P0 UI pass (viewer/paleta/print): 2026-01-22</t>
        </is>
      </c>
    </row>
    <row r="3">
      <c r="A3" t="inlineStr">
        <is>
          <t>OSTEO</t>
        </is>
      </c>
      <c r="B3" t="inlineStr">
        <is>
          <t>OSTEOPOROSE</t>
        </is>
      </c>
      <c r="C3" t="n">
        <v>2</v>
      </c>
      <c r="D3" t="n">
        <v>55</v>
      </c>
      <c r="E3" t="inlineStr">
        <is>
          <t>Modularized (assumed)</t>
        </is>
      </c>
      <c r="G3" t="inlineStr">
        <is>
          <t>Backlog / read-only until unlocked.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tabSelected="1" workbookViewId="0">
      <pane ySplit="1" topLeftCell="A2" activePane="bottomLeft" state="frozen"/>
      <selection pane="bottomLeft" activeCell="H4" sqref="H4"/>
    </sheetView>
  </sheetViews>
  <sheetFormatPr baseColWidth="8" defaultRowHeight="14.4"/>
  <cols>
    <col width="10" customWidth="1" style="9" min="1" max="3"/>
    <col width="33" customWidth="1" style="9" min="4" max="4"/>
    <col width="10" customWidth="1" style="9" min="5" max="7"/>
    <col width="13" customWidth="1" style="9" min="8" max="8"/>
    <col width="14" customWidth="1" style="9" min="9" max="9"/>
    <col width="13" customWidth="1" style="9" min="10" max="10"/>
    <col width="11" bestFit="1" customWidth="1" style="9" min="11" max="11"/>
    <col width="15" customWidth="1" style="9" min="12" max="12"/>
    <col width="13" customWidth="1" style="9" min="13" max="13"/>
    <col width="26" customWidth="1" style="9" min="14" max="14"/>
  </cols>
  <sheetData>
    <row r="1">
      <c r="A1" s="1" t="inlineStr">
        <is>
          <t>Deck_ID</t>
        </is>
      </c>
      <c r="B1" s="1" t="inlineStr">
        <is>
          <t>Slide_ID</t>
        </is>
      </c>
      <c r="C1" s="1" t="inlineStr">
        <is>
          <t>Title</t>
        </is>
      </c>
      <c r="D1" s="1" t="inlineStr">
        <is>
          <t>File_Path</t>
        </is>
      </c>
      <c r="E1" s="1" t="inlineStr">
        <is>
          <t>Status</t>
        </is>
      </c>
      <c r="F1" s="1" t="inlineStr">
        <is>
          <t>P0</t>
        </is>
      </c>
      <c r="G1" s="1" t="inlineStr">
        <is>
          <t>PDF_OK</t>
        </is>
      </c>
      <c r="H1" s="1" t="inlineStr">
        <is>
          <t>Evidence_OK</t>
        </is>
      </c>
      <c r="I1" s="1" t="inlineStr">
        <is>
          <t>Science_Risk</t>
        </is>
      </c>
      <c r="J1" s="1" t="inlineStr">
        <is>
          <t>Visual_0_10</t>
        </is>
      </c>
      <c r="K1" s="1" t="inlineStr">
        <is>
          <t>READY_Calc</t>
        </is>
      </c>
      <c r="L1" s="1" t="inlineStr">
        <is>
          <t>Last_Reviewed</t>
        </is>
      </c>
      <c r="M1" s="1" t="inlineStr">
        <is>
          <t>Next_Action</t>
        </is>
      </c>
      <c r="N1" s="1" t="inlineStr">
        <is>
          <t>Notes</t>
        </is>
      </c>
    </row>
    <row r="2">
      <c r="A2" t="inlineStr">
        <is>
          <t>GRADE</t>
        </is>
      </c>
      <c r="B2" t="inlineStr">
        <is>
          <t>S01</t>
        </is>
      </c>
      <c r="C2" t="inlineStr">
        <is>
          <t>CORE GRADE</t>
        </is>
      </c>
      <c r="D2" t="inlineStr">
        <is>
          <t>GRADE/src/slides/S01.html</t>
        </is>
      </c>
      <c r="E2" t="inlineStr">
        <is>
          <t>DRAFT</t>
        </is>
      </c>
      <c r="F2" t="inlineStr">
        <is>
          <t>No</t>
        </is>
      </c>
      <c r="G2" t="inlineStr">
        <is>
          <t>No</t>
        </is>
      </c>
      <c r="H2" t="inlineStr">
        <is>
          <t>Yes</t>
        </is>
      </c>
      <c r="I2" t="inlineStr">
        <is>
          <t>Low</t>
        </is>
      </c>
      <c r="K2">
        <f>IF(AND(E2="READY",F2="No",G2="Yes",H2="Yes"),"Yes","No")</f>
        <v/>
      </c>
      <c r="L2" s="7" t="n">
        <v>46044</v>
      </c>
      <c r="M2" t="inlineStr">
        <is>
          <t>P1: confirmar subtítulo/ano + logos (se necessário)</t>
        </is>
      </c>
    </row>
    <row r="3">
      <c r="A3" t="inlineStr">
        <is>
          <t>GRADE</t>
        </is>
      </c>
      <c r="B3" t="inlineStr">
        <is>
          <t>S02</t>
        </is>
      </c>
      <c r="C3" t="inlineStr">
        <is>
          <t>"Navegar é preciso..."</t>
        </is>
      </c>
      <c r="D3" t="inlineStr">
        <is>
          <t>GRADE/src/slides/S02.html</t>
        </is>
      </c>
      <c r="E3" t="inlineStr">
        <is>
          <t>DRAFT</t>
        </is>
      </c>
      <c r="F3" t="inlineStr">
        <is>
          <t>No</t>
        </is>
      </c>
      <c r="G3" t="inlineStr">
        <is>
          <t>No</t>
        </is>
      </c>
      <c r="H3" t="inlineStr">
        <is>
          <t>Yes</t>
        </is>
      </c>
      <c r="I3" t="inlineStr">
        <is>
          <t>Low</t>
        </is>
      </c>
      <c r="K3">
        <f>IF(AND(E3="READY",F3="No",G3="Yes",H3="Yes"),"Yes","No")</f>
        <v/>
      </c>
      <c r="L3" s="7" t="n">
        <v>46044</v>
      </c>
      <c r="M3" t="inlineStr">
        <is>
          <t>P1: validar números (LOE A/C) + fonte</t>
        </is>
      </c>
    </row>
    <row r="4">
      <c r="A4" t="inlineStr">
        <is>
          <t>GRADE</t>
        </is>
      </c>
      <c r="B4" t="inlineStr">
        <is>
          <t>S03</t>
        </is>
      </c>
      <c r="C4" t="inlineStr">
        <is>
          <t>CAC para decidir sob incerteza: a lente GRADE</t>
        </is>
      </c>
      <c r="D4" t="inlineStr">
        <is>
          <t>GRADE/src/slides/S03.html</t>
        </is>
      </c>
      <c r="E4" t="inlineStr">
        <is>
          <t>READY</t>
        </is>
      </c>
      <c r="F4" t="inlineStr">
        <is>
          <t>No</t>
        </is>
      </c>
      <c r="G4" t="inlineStr">
        <is>
          <t>Yes</t>
        </is>
      </c>
      <c r="H4" t="inlineStr">
        <is>
          <t>Yes</t>
        </is>
      </c>
      <c r="I4" t="inlineStr">
        <is>
          <t>Low</t>
        </is>
      </c>
      <c r="J4" t="n">
        <v>8</v>
      </c>
      <c r="K4">
        <f>IF(AND(E4="READY",F4="No",G4="Yes",H4="Yes"),"Yes","No")</f>
        <v/>
      </c>
      <c r="L4" s="7" t="inlineStr">
        <is>
          <t>2026-01-22</t>
        </is>
      </c>
      <c r="M4" t="inlineStr">
        <is>
          <t>P1: checar redação exata da recomendação SBC 2025</t>
        </is>
      </c>
      <c r="N4" t="inlineStr">
        <is>
          <t>Batch 06–15: contraste/hierarquia + cards GRADE em layout claro; utilitários .card/.chip.</t>
        </is>
      </c>
    </row>
    <row r="5">
      <c r="A5" t="inlineStr">
        <is>
          <t>GRADE</t>
        </is>
      </c>
      <c r="B5" t="inlineStr">
        <is>
          <t>S04</t>
        </is>
      </c>
      <c r="C5" t="inlineStr">
        <is>
          <t>Onde a sala está?</t>
        </is>
      </c>
      <c r="D5" t="inlineStr">
        <is>
          <t>GRADE/src/slides/S04.html</t>
        </is>
      </c>
      <c r="E5" t="inlineStr">
        <is>
          <t>DRAFT</t>
        </is>
      </c>
      <c r="F5" t="inlineStr">
        <is>
          <t>No</t>
        </is>
      </c>
      <c r="G5" t="inlineStr">
        <is>
          <t>No</t>
        </is>
      </c>
      <c r="H5" t="inlineStr">
        <is>
          <t>No</t>
        </is>
      </c>
      <c r="I5" t="inlineStr">
        <is>
          <t>Low</t>
        </is>
      </c>
      <c r="K5">
        <f>IF(AND(E5="READY",F5="No",G5="Yes",H5="Yes"),"Yes","No")</f>
        <v/>
      </c>
      <c r="L5" s="7" t="n">
        <v>46044</v>
      </c>
      <c r="M5" t="inlineStr">
        <is>
          <t>P1: decidir pergunta interativa (mentimeter/QR)</t>
        </is>
      </c>
    </row>
    <row r="6">
      <c r="A6" t="inlineStr">
        <is>
          <t>GRADE</t>
        </is>
      </c>
      <c r="B6" t="inlineStr">
        <is>
          <t>S05</t>
        </is>
      </c>
      <c r="C6" t="inlineStr">
        <is>
          <t>O Grande Divisor</t>
        </is>
      </c>
      <c r="D6" t="inlineStr">
        <is>
          <t>GRADE/src/slides/S05.html</t>
        </is>
      </c>
      <c r="E6" t="inlineStr">
        <is>
          <t>DRAFT</t>
        </is>
      </c>
      <c r="F6" t="inlineStr">
        <is>
          <t>No</t>
        </is>
      </c>
      <c r="G6" t="inlineStr">
        <is>
          <t>No</t>
        </is>
      </c>
      <c r="H6" t="inlineStr">
        <is>
          <t>No</t>
        </is>
      </c>
      <c r="I6" t="inlineStr">
        <is>
          <t>Low</t>
        </is>
      </c>
      <c r="K6">
        <f>IF(AND(E6="READY",F6="No",G6="Yes",H6="Yes"),"Yes","No")</f>
        <v/>
      </c>
      <c r="L6" s="7" t="n">
        <v>46044</v>
      </c>
      <c r="M6" t="inlineStr">
        <is>
          <t>P1: reduzir densidade e checar consistência com narrativa</t>
        </is>
      </c>
    </row>
    <row r="7">
      <c r="A7" t="inlineStr">
        <is>
          <t>GRADE</t>
        </is>
      </c>
      <c r="B7" t="inlineStr">
        <is>
          <t>S06</t>
        </is>
      </c>
      <c r="C7" t="inlineStr">
        <is>
          <t>O Motor do GRADE</t>
        </is>
      </c>
      <c r="D7" t="inlineStr">
        <is>
          <t>GRADE/src/slides/S06.html</t>
        </is>
      </c>
      <c r="E7" t="inlineStr">
        <is>
          <t>READY</t>
        </is>
      </c>
      <c r="F7" t="inlineStr">
        <is>
          <t>No</t>
        </is>
      </c>
      <c r="G7" t="inlineStr">
        <is>
          <t>Yes</t>
        </is>
      </c>
      <c r="H7" t="inlineStr">
        <is>
          <t>Yes</t>
        </is>
      </c>
      <c r="I7" t="inlineStr">
        <is>
          <t>Medium</t>
        </is>
      </c>
      <c r="J7" t="n">
        <v>8</v>
      </c>
      <c r="K7">
        <f>IF(AND(E7="READY",F7="No",G7="Yes",H7="Yes"),"Yes","No")</f>
        <v/>
      </c>
      <c r="L7" s="10" t="inlineStr">
        <is>
          <t>2026-01-22</t>
        </is>
      </c>
      <c r="M7" t="inlineStr">
        <is>
          <t>P1: reduzir densidade e checar consistência com narrativa</t>
        </is>
      </c>
      <c r="N7" t="inlineStr">
        <is>
          <t>Batch 06–15: contraste/hierarquia + cards GRADE em layout claro; utilitários .card/.chip.</t>
        </is>
      </c>
    </row>
    <row r="8">
      <c r="A8" t="inlineStr">
        <is>
          <t>GRADE</t>
        </is>
      </c>
      <c r="B8" t="inlineStr">
        <is>
          <t>S07</t>
        </is>
      </c>
      <c r="C8" t="inlineStr">
        <is>
          <t>GRADE Domain: Indirectness</t>
        </is>
      </c>
      <c r="D8" t="inlineStr">
        <is>
          <t>GRADE/src/slides/S07.html</t>
        </is>
      </c>
      <c r="E8" t="inlineStr">
        <is>
          <t>READY</t>
        </is>
      </c>
      <c r="F8" t="inlineStr">
        <is>
          <t>No</t>
        </is>
      </c>
      <c r="G8" t="inlineStr">
        <is>
          <t>Yes</t>
        </is>
      </c>
      <c r="H8" t="inlineStr">
        <is>
          <t>Yes</t>
        </is>
      </c>
      <c r="I8" t="inlineStr">
        <is>
          <t>Medium</t>
        </is>
      </c>
      <c r="J8" t="n">
        <v>9</v>
      </c>
      <c r="K8">
        <f>IF(AND(E8="READY",F8="No",G8="Yes",H8="Yes"),"Yes","No")</f>
        <v/>
      </c>
      <c r="L8" s="10" t="inlineStr">
        <is>
          <t>2026-01-22</t>
        </is>
      </c>
      <c r="M8" t="inlineStr">
        <is>
          <t>P1: citar referência do domínio GRADE</t>
        </is>
      </c>
      <c r="N8" t="inlineStr">
        <is>
          <t>Batch 06–15: contraste/hierarquia + cards GRADE em layout claro; utilitários .card/.chip. | Patch 2.1: contraste chips em header navy + S09 source strip</t>
        </is>
      </c>
    </row>
    <row r="9">
      <c r="A9" t="inlineStr">
        <is>
          <t>GRADE</t>
        </is>
      </c>
      <c r="B9" t="inlineStr">
        <is>
          <t>S08</t>
        </is>
      </c>
      <c r="C9" t="inlineStr">
        <is>
          <t>GRADE Domain: Dose-Response Gradient</t>
        </is>
      </c>
      <c r="D9" t="inlineStr">
        <is>
          <t>GRADE/src/slides/S08.html</t>
        </is>
      </c>
      <c r="E9" t="inlineStr">
        <is>
          <t>READY</t>
        </is>
      </c>
      <c r="F9" t="inlineStr">
        <is>
          <t>No</t>
        </is>
      </c>
      <c r="G9" t="inlineStr">
        <is>
          <t>Yes</t>
        </is>
      </c>
      <c r="H9" t="inlineStr">
        <is>
          <t>Yes</t>
        </is>
      </c>
      <c r="I9" t="inlineStr">
        <is>
          <t>Medium</t>
        </is>
      </c>
      <c r="J9" t="n">
        <v>9</v>
      </c>
      <c r="K9">
        <f>IF(AND(E9="READY",F9="No",G9="Yes",H9="Yes"),"Yes","No")</f>
        <v/>
      </c>
      <c r="L9" s="10" t="inlineStr">
        <is>
          <t>2026-01-22</t>
        </is>
      </c>
      <c r="M9" t="inlineStr">
        <is>
          <t>P1: citar referência do domínio GRADE</t>
        </is>
      </c>
      <c r="N9" t="inlineStr">
        <is>
          <t>Batch 06–15: contraste/hierarquia + cards GRADE em layout claro; utilitários .card/.chip. | Patch 2.1: contraste chips em header navy + S09 source strip</t>
        </is>
      </c>
    </row>
    <row r="10">
      <c r="A10" t="inlineStr">
        <is>
          <t>GRADE</t>
        </is>
      </c>
      <c r="B10" t="inlineStr">
        <is>
          <t>S09</t>
        </is>
      </c>
      <c r="C10" t="inlineStr">
        <is>
          <t>Aplicação GRADE: Escore de Cálcio Coronariano</t>
        </is>
      </c>
      <c r="D10" t="inlineStr">
        <is>
          <t>GRADE/src/slides/S09.html</t>
        </is>
      </c>
      <c r="E10" t="inlineStr">
        <is>
          <t>READY</t>
        </is>
      </c>
      <c r="F10" t="inlineStr">
        <is>
          <t>No</t>
        </is>
      </c>
      <c r="G10" t="inlineStr">
        <is>
          <t>Yes</t>
        </is>
      </c>
      <c r="H10" t="inlineStr">
        <is>
          <t>Yes</t>
        </is>
      </c>
      <c r="I10" t="inlineStr">
        <is>
          <t>Medium</t>
        </is>
      </c>
      <c r="J10" t="n">
        <v>9</v>
      </c>
      <c r="K10">
        <f>IF(AND(E10="READY",F10="No",G10="Yes",H10="Yes"),"Yes","No")</f>
        <v/>
      </c>
      <c r="L10" s="10" t="inlineStr">
        <is>
          <t>2026-01-22</t>
        </is>
      </c>
      <c r="M10" t="inlineStr">
        <is>
          <t>P1: adicionar/confirmar referências (CAC, eventos, follow-up)</t>
        </is>
      </c>
      <c r="N10" t="inlineStr">
        <is>
          <t>Batch 06–15: contraste/hierarquia + cards GRADE em layout claro; utilitários .card/.chip. | Patch 2.1: contraste chips em header navy + S09 source strip</t>
        </is>
      </c>
    </row>
    <row r="11">
      <c r="A11" t="inlineStr">
        <is>
          <t>GRADE</t>
        </is>
      </c>
      <c r="B11" t="inlineStr">
        <is>
          <t>S10</t>
        </is>
      </c>
      <c r="C11" t="inlineStr">
        <is>
          <t>CAC = 0: por quanto tempo sinaliza risco baixo?</t>
        </is>
      </c>
      <c r="D11" t="inlineStr">
        <is>
          <t>GRADE/src/slides/S10.html</t>
        </is>
      </c>
      <c r="E11" t="inlineStr">
        <is>
          <t>READY</t>
        </is>
      </c>
      <c r="F11" t="inlineStr">
        <is>
          <t>No</t>
        </is>
      </c>
      <c r="G11" t="inlineStr">
        <is>
          <t>Yes</t>
        </is>
      </c>
      <c r="H11" t="inlineStr">
        <is>
          <t>Yes</t>
        </is>
      </c>
      <c r="I11" t="inlineStr">
        <is>
          <t>Medium</t>
        </is>
      </c>
      <c r="J11" t="n">
        <v>9</v>
      </c>
      <c r="K11">
        <f>IF(AND(E11="READY",F11="No",G11="Yes",H11="Yes"),"Yes","No")</f>
        <v/>
      </c>
      <c r="L11" s="10" t="inlineStr">
        <is>
          <t>2026-01-22</t>
        </is>
      </c>
      <c r="M11" t="inlineStr">
        <is>
          <t>P1: adicionar/confirmar referências (CAC, eventos, follow-up)</t>
        </is>
      </c>
      <c r="N11" t="inlineStr">
        <is>
          <t>Batch 06–15: contraste/hierarquia + cards GRADE em layout claro; utilitários .card/.chip. | Patch 2.1: contraste chips em header navy + S09 source strip</t>
        </is>
      </c>
    </row>
    <row r="12">
      <c r="A12" t="inlineStr">
        <is>
          <t>GRADE</t>
        </is>
      </c>
      <c r="B12" t="inlineStr">
        <is>
          <t>S11</t>
        </is>
      </c>
      <c r="C12" t="inlineStr">
        <is>
          <t>CAC = 0: estatina reduz eventos?</t>
        </is>
      </c>
      <c r="D12" t="inlineStr">
        <is>
          <t>GRADE/src/slides/S11.html</t>
        </is>
      </c>
      <c r="E12" t="inlineStr">
        <is>
          <t>READY</t>
        </is>
      </c>
      <c r="F12" t="inlineStr">
        <is>
          <t>No</t>
        </is>
      </c>
      <c r="G12" t="inlineStr">
        <is>
          <t>Yes</t>
        </is>
      </c>
      <c r="H12" t="inlineStr">
        <is>
          <t>Yes</t>
        </is>
      </c>
      <c r="I12" t="inlineStr">
        <is>
          <t>Medium</t>
        </is>
      </c>
      <c r="J12" t="n">
        <v>9</v>
      </c>
      <c r="K12">
        <f>IF(AND(E12="READY",F12="No",G12="Yes",H12="Yes"),"Yes","No")</f>
        <v/>
      </c>
      <c r="L12" s="10" t="inlineStr">
        <is>
          <t>2026-01-22</t>
        </is>
      </c>
      <c r="M12" t="inlineStr">
        <is>
          <t>P1: adicionar/confirmar referências (CAC, eventos, follow-up)</t>
        </is>
      </c>
      <c r="N12" t="inlineStr">
        <is>
          <t>Batch 06–15: contraste/hierarquia + cards GRADE em layout claro; utilitários .card/.chip. | Patch 2.1: contraste chips em header navy + S09 source strip</t>
        </is>
      </c>
    </row>
    <row r="13">
      <c r="A13" t="inlineStr">
        <is>
          <t>GRADE</t>
        </is>
      </c>
      <c r="B13" t="inlineStr">
        <is>
          <t>S12</t>
        </is>
      </c>
      <c r="C13" t="inlineStr">
        <is>
          <t>CAC=0 não exclui placa não calcificada</t>
        </is>
      </c>
      <c r="D13" t="inlineStr">
        <is>
          <t>GRADE/src/slides/S12.html</t>
        </is>
      </c>
      <c r="E13" t="inlineStr">
        <is>
          <t>READY</t>
        </is>
      </c>
      <c r="F13" t="inlineStr">
        <is>
          <t>No</t>
        </is>
      </c>
      <c r="G13" t="inlineStr">
        <is>
          <t>Yes</t>
        </is>
      </c>
      <c r="H13" t="inlineStr">
        <is>
          <t>Yes</t>
        </is>
      </c>
      <c r="I13" t="inlineStr">
        <is>
          <t>Medium</t>
        </is>
      </c>
      <c r="J13" t="n">
        <v>9</v>
      </c>
      <c r="K13">
        <f>IF(AND(E13="READY",F13="No",G13="Yes",H13="Yes"),"Yes","No")</f>
        <v/>
      </c>
      <c r="L13" s="10" t="n">
        <v>46044</v>
      </c>
      <c r="M13" t="inlineStr">
        <is>
          <t>P1: inserir HR/IC do seguimento 10 anos + figura (paper pendente)</t>
        </is>
      </c>
      <c r="N13" t="inlineStr">
        <is>
          <t>Placeholders adicionados (10y HR/CI + figura/citação). Mantém dados atuais (4.7y) até atualização.</t>
        </is>
      </c>
    </row>
    <row r="14">
      <c r="A14" t="inlineStr">
        <is>
          <t>GRADE</t>
        </is>
      </c>
      <c r="B14" t="inlineStr">
        <is>
          <t>S13</t>
        </is>
      </c>
      <c r="C14" t="inlineStr">
        <is>
          <t>Aspirina na prevenção primária: NNT vs NNH por CAC</t>
        </is>
      </c>
      <c r="D14" t="inlineStr">
        <is>
          <t>GRADE/src/slides/S13.html</t>
        </is>
      </c>
      <c r="E14" t="inlineStr">
        <is>
          <t>READY</t>
        </is>
      </c>
      <c r="F14" t="inlineStr">
        <is>
          <t>No</t>
        </is>
      </c>
      <c r="G14" t="inlineStr">
        <is>
          <t>Yes</t>
        </is>
      </c>
      <c r="H14" t="inlineStr">
        <is>
          <t>Yes</t>
        </is>
      </c>
      <c r="I14" t="inlineStr">
        <is>
          <t>Medium</t>
        </is>
      </c>
      <c r="J14" t="n">
        <v>9</v>
      </c>
      <c r="K14">
        <f>IF(AND(E14="READY",F14="No",G14="Yes",H14="Yes"),"Yes","No")</f>
        <v/>
      </c>
      <c r="L14" s="10" t="inlineStr">
        <is>
          <t>2026-01-22</t>
        </is>
      </c>
      <c r="M14" t="inlineStr">
        <is>
          <t>P1: revisar NNT/NNH + fonte primária</t>
        </is>
      </c>
      <c r="N14" t="inlineStr">
        <is>
          <t>Batch 06–15: contraste/hierarquia + cards GRADE em layout claro; utilitários .card/.chip. | Patch 2.1: contraste chips em header navy + S09 source strip</t>
        </is>
      </c>
    </row>
    <row r="15">
      <c r="A15" t="inlineStr">
        <is>
          <t>GRADE</t>
        </is>
      </c>
      <c r="B15" t="inlineStr">
        <is>
          <t>S14</t>
        </is>
      </c>
      <c r="C15" t="inlineStr">
        <is>
          <t>Aplicação GRADE: Ácido Bempedóico</t>
        </is>
      </c>
      <c r="D15" t="inlineStr">
        <is>
          <t>GRADE/src/slides/S14.html</t>
        </is>
      </c>
      <c r="E15" t="inlineStr">
        <is>
          <t>READY</t>
        </is>
      </c>
      <c r="F15" t="inlineStr">
        <is>
          <t>No</t>
        </is>
      </c>
      <c r="G15" t="inlineStr">
        <is>
          <t>Yes</t>
        </is>
      </c>
      <c r="H15" t="inlineStr">
        <is>
          <t>Yes</t>
        </is>
      </c>
      <c r="I15" t="inlineStr">
        <is>
          <t>Medium</t>
        </is>
      </c>
      <c r="J15" t="n">
        <v>8</v>
      </c>
      <c r="K15">
        <f>IF(AND(E15="READY",F15="No",G15="Yes",H15="Yes"),"Yes","No")</f>
        <v/>
      </c>
      <c r="L15" s="10" t="inlineStr">
        <is>
          <t>2026-01-22</t>
        </is>
      </c>
      <c r="M15" t="inlineStr">
        <is>
          <t>P1: revisar evidência (bempedoic/SAMS) + rodapé</t>
        </is>
      </c>
      <c r="N15" t="inlineStr">
        <is>
          <t>Batch 06–15: contraste/hierarquia + cards GRADE em layout claro; utilitários .card/.chip.</t>
        </is>
      </c>
    </row>
    <row r="16">
      <c r="A16" t="inlineStr">
        <is>
          <t>GRADE</t>
        </is>
      </c>
      <c r="B16" t="inlineStr">
        <is>
          <t>S15</t>
        </is>
      </c>
      <c r="C16" t="inlineStr">
        <is>
          <t>Sintomas Musculares Associados às Estatinas (SAMS)</t>
        </is>
      </c>
      <c r="D16" t="inlineStr">
        <is>
          <t>GRADE/src/slides/S15.html</t>
        </is>
      </c>
      <c r="E16" t="inlineStr">
        <is>
          <t>READY</t>
        </is>
      </c>
      <c r="F16" t="inlineStr">
        <is>
          <t>No</t>
        </is>
      </c>
      <c r="G16" t="inlineStr">
        <is>
          <t>Yes</t>
        </is>
      </c>
      <c r="H16" t="inlineStr">
        <is>
          <t>Yes</t>
        </is>
      </c>
      <c r="I16" t="inlineStr">
        <is>
          <t>Medium</t>
        </is>
      </c>
      <c r="J16" t="n">
        <v>8</v>
      </c>
      <c r="K16">
        <f>IF(AND(E16="READY",F16="No",G16="Yes",H16="Yes"),"Yes","No")</f>
        <v/>
      </c>
      <c r="L16" s="10" t="inlineStr">
        <is>
          <t>2026-01-22</t>
        </is>
      </c>
      <c r="M16" t="inlineStr">
        <is>
          <t>P1: revisar evidência (bempedoic/SAMS) + rodapé</t>
        </is>
      </c>
      <c r="N16" t="inlineStr">
        <is>
          <t>Batch 06–15: contraste/hierarquia + cards GRADE em layout claro; utilitários .card/.chip.</t>
        </is>
      </c>
    </row>
    <row r="17">
      <c r="A17" t="inlineStr">
        <is>
          <t>GRADE</t>
        </is>
      </c>
      <c r="B17" t="inlineStr">
        <is>
          <t>S16</t>
        </is>
      </c>
      <c r="C17" t="inlineStr">
        <is>
          <t>Ácido Bempedóico: Por que NÃO causa sintomas musculares?</t>
        </is>
      </c>
      <c r="D17" t="inlineStr">
        <is>
          <t>GRADE/src/slides/S16.html</t>
        </is>
      </c>
      <c r="E17" t="inlineStr">
        <is>
          <t>READY</t>
        </is>
      </c>
      <c r="F17" t="inlineStr">
        <is>
          <t>No</t>
        </is>
      </c>
      <c r="G17" t="inlineStr">
        <is>
          <t>Yes</t>
        </is>
      </c>
      <c r="H17" t="inlineStr">
        <is>
          <t>Yes</t>
        </is>
      </c>
      <c r="I17" t="inlineStr">
        <is>
          <t>Medium</t>
        </is>
      </c>
      <c r="J17" t="n">
        <v>9</v>
      </c>
      <c r="K17">
        <f>IF(AND(E17="READY",F17="No",G17="Yes",H17="Yes"),"Yes","No")</f>
        <v/>
      </c>
      <c r="L17" s="10" t="n">
        <v>46044</v>
      </c>
      <c r="M17" t="inlineStr">
        <is>
          <t>P2: revisão final de texto (aula/residentes)</t>
        </is>
      </c>
      <c r="N17" t="inlineStr">
        <is>
          <t>Batch 16–26: layout ok, sem overflow.</t>
        </is>
      </c>
    </row>
    <row r="18">
      <c r="A18" t="inlineStr">
        <is>
          <t>GRADE</t>
        </is>
      </c>
      <c r="B18" t="inlineStr">
        <is>
          <t>S17</t>
        </is>
      </c>
      <c r="C18" t="inlineStr">
        <is>
          <t>Imprecisão: Conceito de Diferença Mínima Importante (MID)</t>
        </is>
      </c>
      <c r="D18" t="inlineStr">
        <is>
          <t>GRADE/src/slides/S17.html</t>
        </is>
      </c>
      <c r="E18" t="inlineStr">
        <is>
          <t>READY</t>
        </is>
      </c>
      <c r="F18" t="inlineStr">
        <is>
          <t>No</t>
        </is>
      </c>
      <c r="G18" t="inlineStr">
        <is>
          <t>Yes</t>
        </is>
      </c>
      <c r="H18" t="inlineStr">
        <is>
          <t>Yes</t>
        </is>
      </c>
      <c r="I18" t="inlineStr">
        <is>
          <t>Medium</t>
        </is>
      </c>
      <c r="J18" t="n">
        <v>9</v>
      </c>
      <c r="K18">
        <f>IF(AND(E18="READY",F18="No",G18="Yes",H18="Yes"),"Yes","No")</f>
        <v/>
      </c>
      <c r="L18" s="10" t="n">
        <v>46044</v>
      </c>
      <c r="M18" t="inlineStr">
        <is>
          <t>P2: checar legibilidade da barra MID em projetor</t>
        </is>
      </c>
      <c r="N18" t="inlineStr">
        <is>
          <t>Batch 16–26: padronizado.</t>
        </is>
      </c>
    </row>
    <row r="19">
      <c r="A19" t="inlineStr">
        <is>
          <t>GRADE</t>
        </is>
      </c>
      <c r="B19" t="inlineStr">
        <is>
          <t>S18</t>
        </is>
      </c>
      <c r="C19" t="inlineStr">
        <is>
          <t>Aplicação ao CLEAR Outcomes: Análise de Imprecisão (MACE-4)</t>
        </is>
      </c>
      <c r="D19" t="inlineStr">
        <is>
          <t>GRADE/src/slides/S18.html</t>
        </is>
      </c>
      <c r="E19" t="inlineStr">
        <is>
          <t>READY</t>
        </is>
      </c>
      <c r="F19" t="inlineStr">
        <is>
          <t>Yes</t>
        </is>
      </c>
      <c r="G19" t="inlineStr">
        <is>
          <t>Yes</t>
        </is>
      </c>
      <c r="H19" t="inlineStr">
        <is>
          <t>Yes</t>
        </is>
      </c>
      <c r="I19" t="inlineStr">
        <is>
          <t>Medium</t>
        </is>
      </c>
      <c r="J19" t="n">
        <v>9</v>
      </c>
      <c r="K19">
        <f>IF(AND(E19="READY",F19="No",G19="Yes",H19="Yes"),"Yes","No")</f>
        <v/>
      </c>
      <c r="L19" s="10" t="n">
        <v>46044</v>
      </c>
      <c r="M19" t="inlineStr">
        <is>
          <t>P2: revisar texto 'rebaxar -1 nível'</t>
        </is>
      </c>
      <c r="N19" t="inlineStr">
        <is>
          <t>Batch 16–26: compactado.</t>
        </is>
      </c>
    </row>
    <row r="20">
      <c r="A20" t="inlineStr">
        <is>
          <t>GRADE</t>
        </is>
      </c>
      <c r="B20" t="inlineStr">
        <is>
          <t>S19</t>
        </is>
      </c>
      <c r="C20" t="inlineStr">
        <is>
          <t>Risco de Viés (RoB): Critérios Core GRADE Aplicados ao CLEAR Outcomes</t>
        </is>
      </c>
      <c r="D20" t="inlineStr">
        <is>
          <t>GRADE/src/slides/S19.html</t>
        </is>
      </c>
      <c r="E20" t="inlineStr">
        <is>
          <t>READY</t>
        </is>
      </c>
      <c r="F20" t="inlineStr">
        <is>
          <t>No</t>
        </is>
      </c>
      <c r="G20" t="inlineStr">
        <is>
          <t>Yes</t>
        </is>
      </c>
      <c r="H20" t="inlineStr">
        <is>
          <t>Yes</t>
        </is>
      </c>
      <c r="I20" t="inlineStr">
        <is>
          <t>Medium</t>
        </is>
      </c>
      <c r="J20" t="n">
        <v>9</v>
      </c>
      <c r="K20">
        <f>IF(AND(E20="READY",F20="No",G20="Yes",H20="Yes"),"Yes","No")</f>
        <v/>
      </c>
      <c r="L20" s="10" t="n">
        <v>46044</v>
      </c>
      <c r="M20" t="inlineStr">
        <is>
          <t>P2: validar se 5 domínios RoB2 cabem em telas menores</t>
        </is>
      </c>
      <c r="N20" t="inlineStr">
        <is>
          <t>Compactação de paddings/font para evitar corte do item 5.</t>
        </is>
      </c>
    </row>
    <row r="21">
      <c r="A21" t="inlineStr">
        <is>
          <t>GRADE</t>
        </is>
      </c>
      <c r="B21" t="inlineStr">
        <is>
          <t>S20</t>
        </is>
      </c>
      <c r="C21" t="inlineStr">
        <is>
          <t>Da Evidência à Recomendação: Evidence-to-Decision (EtD) Framework</t>
        </is>
      </c>
      <c r="D21" t="inlineStr">
        <is>
          <t>GRADE/src/slides/S20.html</t>
        </is>
      </c>
      <c r="E21" t="inlineStr">
        <is>
          <t>READY</t>
        </is>
      </c>
      <c r="F21" t="inlineStr">
        <is>
          <t>No</t>
        </is>
      </c>
      <c r="G21" t="inlineStr">
        <is>
          <t>Yes</t>
        </is>
      </c>
      <c r="H21" t="inlineStr">
        <is>
          <t>Yes</t>
        </is>
      </c>
      <c r="I21" t="inlineStr">
        <is>
          <t>Medium</t>
        </is>
      </c>
      <c r="J21" t="n">
        <v>9</v>
      </c>
      <c r="K21">
        <f>IF(AND(E21="READY",F21="No",G21="Yes",H21="Yes"),"Yes","No")</f>
        <v/>
      </c>
      <c r="L21" s="10" t="n">
        <v>46044</v>
      </c>
      <c r="M21" t="inlineStr">
        <is>
          <t>P2: checar contraste da linha RECOMENDAÇÃO no projetor</t>
        </is>
      </c>
      <c r="N21" t="inlineStr">
        <is>
          <t>Tabela EtD revisada; recomendação destacada.</t>
        </is>
      </c>
    </row>
    <row r="22">
      <c r="A22" t="inlineStr">
        <is>
          <t>GRADE</t>
        </is>
      </c>
      <c r="B22" t="inlineStr">
        <is>
          <t>S22</t>
        </is>
      </c>
      <c r="C22" t="inlineStr">
        <is>
          <t>Recomendações das Diretrizes</t>
        </is>
      </c>
      <c r="D22" t="inlineStr">
        <is>
          <t>GRADE/src/slides/S22.html</t>
        </is>
      </c>
      <c r="E22" t="inlineStr">
        <is>
          <t>DRAFT</t>
        </is>
      </c>
      <c r="F22" t="inlineStr">
        <is>
          <t>No</t>
        </is>
      </c>
      <c r="G22" t="inlineStr">
        <is>
          <t>No</t>
        </is>
      </c>
      <c r="H22" t="inlineStr">
        <is>
          <t>No</t>
        </is>
      </c>
      <c r="I22" t="inlineStr">
        <is>
          <t>Medium</t>
        </is>
      </c>
      <c r="K22">
        <f>IF(AND(E22="READY",F22="No",G22="Yes",H22="Yes"),"Yes","No")</f>
        <v/>
      </c>
      <c r="L22" s="10" t="n">
        <v>46044</v>
      </c>
      <c r="M22" t="inlineStr">
        <is>
          <t>P1: validar métricas PREVENT/prognóstico + fontes</t>
        </is>
      </c>
    </row>
    <row r="23">
      <c r="A23" t="inlineStr">
        <is>
          <t>GRADE</t>
        </is>
      </c>
      <c r="B23" t="inlineStr">
        <is>
          <t>S23</t>
        </is>
      </c>
      <c r="C23" t="inlineStr">
        <is>
          <t>GRADE: Prognósticos ≠ Intervenções</t>
        </is>
      </c>
      <c r="D23" t="inlineStr">
        <is>
          <t>GRADE/src/slides/S23.html</t>
        </is>
      </c>
      <c r="E23" t="inlineStr">
        <is>
          <t>DRAFT</t>
        </is>
      </c>
      <c r="F23" t="inlineStr">
        <is>
          <t>No</t>
        </is>
      </c>
      <c r="G23" t="inlineStr">
        <is>
          <t>No</t>
        </is>
      </c>
      <c r="H23" t="inlineStr">
        <is>
          <t>No</t>
        </is>
      </c>
      <c r="I23" t="inlineStr">
        <is>
          <t>Medium</t>
        </is>
      </c>
      <c r="K23">
        <f>IF(AND(E23="READY",F23="No",G23="Yes",H23="Yes"),"Yes","No")</f>
        <v/>
      </c>
      <c r="L23" s="10" t="n">
        <v>46044</v>
      </c>
      <c r="M23" t="inlineStr">
        <is>
          <t>P1: validar métricas PREVENT/prognóstico + fontes</t>
        </is>
      </c>
    </row>
    <row r="24">
      <c r="A24" t="inlineStr">
        <is>
          <t>GRADE</t>
        </is>
      </c>
      <c r="B24" t="inlineStr">
        <is>
          <t>S24</t>
        </is>
      </c>
      <c r="C24" t="inlineStr">
        <is>
          <t>GRADE: Calibração do PREVENT</t>
        </is>
      </c>
      <c r="D24" t="inlineStr">
        <is>
          <t>GRADE/src/slides/S24.html</t>
        </is>
      </c>
      <c r="E24" t="inlineStr">
        <is>
          <t>READY</t>
        </is>
      </c>
      <c r="F24" t="inlineStr">
        <is>
          <t>No</t>
        </is>
      </c>
      <c r="G24" t="inlineStr">
        <is>
          <t>Yes</t>
        </is>
      </c>
      <c r="H24" t="inlineStr">
        <is>
          <t>Yes</t>
        </is>
      </c>
      <c r="I24" t="inlineStr">
        <is>
          <t>Medium</t>
        </is>
      </c>
      <c r="J24" t="n">
        <v>9</v>
      </c>
      <c r="K24">
        <f>IF(AND(E24="READY",F24="No",G24="Yes",H24="Yes"),"Yes","No")</f>
        <v/>
      </c>
      <c r="L24" s="10" t="n">
        <v>46044</v>
      </c>
      <c r="M24" t="inlineStr">
        <is>
          <t>P2: revisar mensagem sobre validação BR (sem datas)</t>
        </is>
      </c>
      <c r="N24" t="inlineStr">
        <is>
          <t>Fonte corrigida para Circulation 2024 PREVENT; removido '2026'.</t>
        </is>
      </c>
    </row>
    <row r="25">
      <c r="A25" t="inlineStr">
        <is>
          <t>GRADE</t>
        </is>
      </c>
      <c r="B25" t="inlineStr">
        <is>
          <t>S25</t>
        </is>
      </c>
      <c r="C25" t="inlineStr">
        <is>
          <t>GRADE: Discriminação do PREVENT</t>
        </is>
      </c>
      <c r="D25" t="inlineStr">
        <is>
          <t>GRADE/src/slides/S25.html</t>
        </is>
      </c>
      <c r="E25" t="inlineStr">
        <is>
          <t>READY</t>
        </is>
      </c>
      <c r="F25" t="inlineStr">
        <is>
          <t>No</t>
        </is>
      </c>
      <c r="G25" t="inlineStr">
        <is>
          <t>Yes</t>
        </is>
      </c>
      <c r="H25" t="inlineStr">
        <is>
          <t>Yes</t>
        </is>
      </c>
      <c r="I25" t="inlineStr">
        <is>
          <t>Medium</t>
        </is>
      </c>
      <c r="J25" t="n">
        <v>9</v>
      </c>
      <c r="K25">
        <f>IF(AND(E25="READY",F25="No",G25="Yes",H25="Yes"),"Yes","No")</f>
        <v/>
      </c>
      <c r="L25" s="10" t="n">
        <v>46044</v>
      </c>
      <c r="M25" t="inlineStr">
        <is>
          <t>P2: validar narrativa 10y vs 30y</t>
        </is>
      </c>
      <c r="N25" t="inlineStr">
        <is>
          <t>Fontes corrigidas (PREVENT Circulation 2024 + Framingham 30y Circulation 2009).</t>
        </is>
      </c>
    </row>
    <row r="26">
      <c r="A26" t="inlineStr">
        <is>
          <t>GRADE</t>
        </is>
      </c>
      <c r="B26" t="inlineStr">
        <is>
          <t>S26</t>
        </is>
      </c>
      <c r="C26" t="inlineStr">
        <is>
          <t>Comparativo de Calculadoras</t>
        </is>
      </c>
      <c r="D26" t="inlineStr">
        <is>
          <t>GRADE/src/slides/S26.html</t>
        </is>
      </c>
      <c r="E26" t="inlineStr">
        <is>
          <t>READY</t>
        </is>
      </c>
      <c r="F26" t="inlineStr">
        <is>
          <t>No</t>
        </is>
      </c>
      <c r="G26" t="inlineStr">
        <is>
          <t>Yes</t>
        </is>
      </c>
      <c r="H26" t="inlineStr">
        <is>
          <t>Yes</t>
        </is>
      </c>
      <c r="I26" t="inlineStr">
        <is>
          <t>Medium</t>
        </is>
      </c>
      <c r="J26" t="n">
        <v>9</v>
      </c>
      <c r="K26">
        <f>IF(AND(E26="READY",F26="No",G26="Yes",H26="Yes"),"Yes","No")</f>
        <v/>
      </c>
      <c r="L26" s="10" t="n">
        <v>46044</v>
      </c>
      <c r="M26" t="inlineStr">
        <is>
          <t>P2: revisão final da tabela comparativa</t>
        </is>
      </c>
      <c r="N26" t="inlineStr">
        <is>
          <t>Fontes corrigidas (PREVENT, PCE guideline, SCORE2). Mensagem-chave mais cautelosa.</t>
        </is>
      </c>
    </row>
    <row r="27">
      <c r="A27" t="inlineStr">
        <is>
          <t>GRADE</t>
        </is>
      </c>
      <c r="B27" t="inlineStr">
        <is>
          <t>S27</t>
        </is>
      </c>
      <c r="C27" t="inlineStr">
        <is>
          <t>🚨 Limitação: Subgrupos de Baixa Performance</t>
        </is>
      </c>
      <c r="D27" t="inlineStr">
        <is>
          <t>GRADE/src/slides/S27.html</t>
        </is>
      </c>
      <c r="E27" t="inlineStr">
        <is>
          <t>DRAFT</t>
        </is>
      </c>
      <c r="F27" t="inlineStr">
        <is>
          <t>No</t>
        </is>
      </c>
      <c r="G27" t="inlineStr">
        <is>
          <t>No</t>
        </is>
      </c>
      <c r="H27" t="inlineStr">
        <is>
          <t>No</t>
        </is>
      </c>
      <c r="I27" t="inlineStr">
        <is>
          <t>Medium</t>
        </is>
      </c>
      <c r="K27">
        <f>IF(AND(E27="READY",F27="No",G27="Yes",H27="Yes"),"Yes","No")</f>
        <v/>
      </c>
      <c r="L27" s="10" t="n">
        <v>46044</v>
      </c>
      <c r="M27" t="inlineStr">
        <is>
          <t>P1: validar tabelas (calculadoras, PROBAST, TRIPOD+AI)</t>
        </is>
      </c>
    </row>
    <row r="28">
      <c r="A28" t="inlineStr">
        <is>
          <t>GRADE</t>
        </is>
      </c>
      <c r="B28" t="inlineStr">
        <is>
          <t>S28</t>
        </is>
      </c>
      <c r="C28" t="inlineStr">
        <is>
          <t>Variáveis Ausentes no PREVENT</t>
        </is>
      </c>
      <c r="D28" t="inlineStr">
        <is>
          <t>GRADE/src/slides/S28.html</t>
        </is>
      </c>
      <c r="E28" t="inlineStr">
        <is>
          <t>DRAFT</t>
        </is>
      </c>
      <c r="F28" t="inlineStr">
        <is>
          <t>No</t>
        </is>
      </c>
      <c r="G28" t="inlineStr">
        <is>
          <t>No</t>
        </is>
      </c>
      <c r="H28" t="inlineStr">
        <is>
          <t>No</t>
        </is>
      </c>
      <c r="I28" t="inlineStr">
        <is>
          <t>Medium</t>
        </is>
      </c>
      <c r="K28">
        <f>IF(AND(E28="READY",F28="No",G28="Yes",H28="Yes"),"Yes","No")</f>
        <v/>
      </c>
      <c r="L28" s="10" t="n">
        <v>46044</v>
      </c>
      <c r="M28" t="inlineStr">
        <is>
          <t>P1: validar tabelas (calculadoras, PROBAST, TRIPOD+AI)</t>
        </is>
      </c>
    </row>
    <row r="29">
      <c r="A29" t="inlineStr">
        <is>
          <t>GRADE</t>
        </is>
      </c>
      <c r="B29" t="inlineStr">
        <is>
          <t>S29</t>
        </is>
      </c>
      <c r="C29" t="inlineStr">
        <is>
          <t>CAC como Reclassificador</t>
        </is>
      </c>
      <c r="D29" t="inlineStr">
        <is>
          <t>GRADE/src/slides/S29.html</t>
        </is>
      </c>
      <c r="E29" t="inlineStr">
        <is>
          <t>DRAFT</t>
        </is>
      </c>
      <c r="F29" t="inlineStr">
        <is>
          <t>No</t>
        </is>
      </c>
      <c r="G29" t="inlineStr">
        <is>
          <t>No</t>
        </is>
      </c>
      <c r="H29" t="inlineStr">
        <is>
          <t>No</t>
        </is>
      </c>
      <c r="I29" t="inlineStr">
        <is>
          <t>Medium</t>
        </is>
      </c>
      <c r="K29">
        <f>IF(AND(E29="READY",F29="No",G29="Yes",H29="Yes"),"Yes","No")</f>
        <v/>
      </c>
      <c r="L29" s="10" t="n">
        <v>46044</v>
      </c>
      <c r="M29" t="inlineStr">
        <is>
          <t>P1: validar tabelas (calculadoras, PROBAST, TRIPOD+AI)</t>
        </is>
      </c>
    </row>
    <row r="30">
      <c r="A30" t="inlineStr">
        <is>
          <t>GRADE</t>
        </is>
      </c>
      <c r="B30" t="inlineStr">
        <is>
          <t>S30</t>
        </is>
      </c>
      <c r="C30" t="inlineStr">
        <is>
          <t>PROBAST : Avaliação de Viés</t>
        </is>
      </c>
      <c r="D30" t="inlineStr">
        <is>
          <t>GRADE/src/slides/S30.html</t>
        </is>
      </c>
      <c r="E30" t="inlineStr">
        <is>
          <t>DRAFT</t>
        </is>
      </c>
      <c r="F30" t="inlineStr">
        <is>
          <t>No</t>
        </is>
      </c>
      <c r="G30" t="inlineStr">
        <is>
          <t>No</t>
        </is>
      </c>
      <c r="H30" t="inlineStr">
        <is>
          <t>No</t>
        </is>
      </c>
      <c r="I30" t="inlineStr">
        <is>
          <t>Medium</t>
        </is>
      </c>
      <c r="K30">
        <f>IF(AND(E30="READY",F30="No",G30="Yes",H30="Yes"),"Yes","No")</f>
        <v/>
      </c>
      <c r="L30" s="10" t="n">
        <v>46044</v>
      </c>
      <c r="M30" t="inlineStr">
        <is>
          <t>P1: validar tabelas (calculadoras, PROBAST, TRIPOD+AI)</t>
        </is>
      </c>
    </row>
    <row r="31">
      <c r="A31" t="inlineStr">
        <is>
          <t>GRADE</t>
        </is>
      </c>
      <c r="B31" t="inlineStr">
        <is>
          <t>S31</t>
        </is>
      </c>
      <c r="C31" t="inlineStr">
        <is>
          <t>TRIPOD+AI : Transparência em Modelos</t>
        </is>
      </c>
      <c r="D31" t="inlineStr">
        <is>
          <t>GRADE/src/slides/S31.html</t>
        </is>
      </c>
      <c r="E31" t="inlineStr">
        <is>
          <t>DRAFT</t>
        </is>
      </c>
      <c r="F31" t="inlineStr">
        <is>
          <t>No</t>
        </is>
      </c>
      <c r="G31" t="inlineStr">
        <is>
          <t>No</t>
        </is>
      </c>
      <c r="H31" t="inlineStr">
        <is>
          <t>No</t>
        </is>
      </c>
      <c r="I31" t="inlineStr">
        <is>
          <t>Medium</t>
        </is>
      </c>
      <c r="K31">
        <f>IF(AND(E31="READY",F31="No",G31="Yes",H31="Yes"),"Yes","No")</f>
        <v/>
      </c>
      <c r="L31" s="10" t="n">
        <v>46044</v>
      </c>
      <c r="M31" t="inlineStr">
        <is>
          <t>P1: validar tabelas (calculadoras, PROBAST, TRIPOD+AI)</t>
        </is>
      </c>
    </row>
    <row r="32">
      <c r="A32" t="inlineStr">
        <is>
          <t>GRADE</t>
        </is>
      </c>
      <c r="B32" t="inlineStr">
        <is>
          <t>S32</t>
        </is>
      </c>
      <c r="C32" t="inlineStr">
        <is>
          <t>Conclusões &amp; Próximos Passos</t>
        </is>
      </c>
      <c r="D32" t="inlineStr">
        <is>
          <t>GRADE/src/slides/S32.html</t>
        </is>
      </c>
      <c r="E32" t="inlineStr">
        <is>
          <t>DRAFT</t>
        </is>
      </c>
      <c r="F32" t="inlineStr">
        <is>
          <t>No</t>
        </is>
      </c>
      <c r="G32" t="inlineStr">
        <is>
          <t>No</t>
        </is>
      </c>
      <c r="H32" t="inlineStr">
        <is>
          <t>No</t>
        </is>
      </c>
      <c r="I32" t="inlineStr">
        <is>
          <t>Medium</t>
        </is>
      </c>
      <c r="K32">
        <f>IF(AND(E32="READY",F32="No",G32="Yes",H32="Yes"),"Yes","No")</f>
        <v/>
      </c>
      <c r="L32" s="10" t="n">
        <v>46044</v>
      </c>
      <c r="M32" t="inlineStr">
        <is>
          <t>P1: validar tabelas (calculadoras, PROBAST, TRIPOD+AI)</t>
        </is>
      </c>
    </row>
    <row r="33">
      <c r="A33" t="inlineStr">
        <is>
          <t>GRADE</t>
        </is>
      </c>
      <c r="B33" t="inlineStr">
        <is>
          <t>S33</t>
        </is>
      </c>
      <c r="C33" t="inlineStr">
        <is>
          <t>BÔNUS — CAC</t>
        </is>
      </c>
      <c r="D33" t="inlineStr">
        <is>
          <t>GRADE/src/slides/S33.html</t>
        </is>
      </c>
      <c r="E33" t="inlineStr">
        <is>
          <t>DRAFT</t>
        </is>
      </c>
      <c r="F33" t="inlineStr">
        <is>
          <t>No</t>
        </is>
      </c>
      <c r="G33" t="inlineStr">
        <is>
          <t>No</t>
        </is>
      </c>
      <c r="H33" t="inlineStr">
        <is>
          <t>No</t>
        </is>
      </c>
      <c r="I33" t="inlineStr">
        <is>
          <t>Medium</t>
        </is>
      </c>
      <c r="K33">
        <f>IF(AND(E33="READY",F33="No",G33="Yes",H33="Yes"),"Yes","No")</f>
        <v/>
      </c>
      <c r="L33" s="10" t="n">
        <v>46044</v>
      </c>
      <c r="M33" t="inlineStr">
        <is>
          <t>P2: refino narrativo + Q&amp;A (respostas curtas)</t>
        </is>
      </c>
    </row>
    <row r="34">
      <c r="A34" t="inlineStr">
        <is>
          <t>GRADE</t>
        </is>
      </c>
      <c r="B34" t="inlineStr">
        <is>
          <t>S34</t>
        </is>
      </c>
      <c r="C34" t="inlineStr">
        <is>
          <t>GRADE: Indirectness = PICO mismatch (treino rápido)</t>
        </is>
      </c>
      <c r="D34" t="inlineStr">
        <is>
          <t>GRADE/src/slides/S34.html</t>
        </is>
      </c>
      <c r="E34" t="inlineStr">
        <is>
          <t>DRAFT</t>
        </is>
      </c>
      <c r="F34" t="inlineStr">
        <is>
          <t>No</t>
        </is>
      </c>
      <c r="G34" t="inlineStr">
        <is>
          <t>No</t>
        </is>
      </c>
      <c r="H34" t="inlineStr">
        <is>
          <t>No</t>
        </is>
      </c>
      <c r="I34" t="inlineStr">
        <is>
          <t>Medium</t>
        </is>
      </c>
      <c r="K34">
        <f>IF(AND(E34="READY",F34="No",G34="Yes",H34="Yes"),"Yes","No")</f>
        <v/>
      </c>
      <c r="L34" s="10" t="n">
        <v>46044</v>
      </c>
      <c r="M34" t="inlineStr">
        <is>
          <t>P2: refino narrativo + Q&amp;A (respostas curtas)</t>
        </is>
      </c>
    </row>
    <row r="35">
      <c r="A35" t="inlineStr">
        <is>
          <t>GRADE</t>
        </is>
      </c>
      <c r="B35" t="inlineStr">
        <is>
          <t>S35</t>
        </is>
      </c>
      <c r="C35" t="inlineStr">
        <is>
          <t>CAC e Indirectness: mapa do risco ≠ prova de estratégia</t>
        </is>
      </c>
      <c r="D35" t="inlineStr">
        <is>
          <t>GRADE/src/slides/S35.html</t>
        </is>
      </c>
      <c r="E35" t="inlineStr">
        <is>
          <t>DRAFT</t>
        </is>
      </c>
      <c r="F35" t="inlineStr">
        <is>
          <t>No</t>
        </is>
      </c>
      <c r="G35" t="inlineStr">
        <is>
          <t>No</t>
        </is>
      </c>
      <c r="H35" t="inlineStr">
        <is>
          <t>No</t>
        </is>
      </c>
      <c r="I35" t="inlineStr">
        <is>
          <t>Medium</t>
        </is>
      </c>
      <c r="K35">
        <f>IF(AND(E35="READY",F35="No",G35="Yes",H35="Yes"),"Yes","No")</f>
        <v/>
      </c>
      <c r="L35" s="10" t="n">
        <v>46044</v>
      </c>
      <c r="M35" t="inlineStr">
        <is>
          <t>P2: refino narrativo + Q&amp;A (respostas curtas)</t>
        </is>
      </c>
    </row>
    <row r="36">
      <c r="A36" t="inlineStr">
        <is>
          <t>GRADE</t>
        </is>
      </c>
      <c r="B36" t="inlineStr">
        <is>
          <t>S36</t>
        </is>
      </c>
      <c r="C36" t="inlineStr">
        <is>
          <t>SBC 2025: CAC reclassifica risco → meta LDL-c</t>
        </is>
      </c>
      <c r="D36" t="inlineStr">
        <is>
          <t>GRADE/src/slides/S36.html</t>
        </is>
      </c>
      <c r="E36" t="inlineStr">
        <is>
          <t>DRAFT</t>
        </is>
      </c>
      <c r="F36" t="inlineStr">
        <is>
          <t>No</t>
        </is>
      </c>
      <c r="G36" t="inlineStr">
        <is>
          <t>No</t>
        </is>
      </c>
      <c r="H36" t="inlineStr">
        <is>
          <t>No</t>
        </is>
      </c>
      <c r="I36" t="inlineStr">
        <is>
          <t>Medium</t>
        </is>
      </c>
      <c r="K36">
        <f>IF(AND(E36="READY",F36="No",G36="Yes",H36="Yes"),"Yes","No")</f>
        <v/>
      </c>
      <c r="L36" s="10" t="n">
        <v>46044</v>
      </c>
      <c r="M36" t="inlineStr">
        <is>
          <t>P2: refino narrativo + Q&amp;A (respostas curtas)</t>
        </is>
      </c>
    </row>
    <row r="37">
      <c r="A37" t="inlineStr">
        <is>
          <t>GRADE</t>
        </is>
      </c>
      <c r="B37" t="inlineStr">
        <is>
          <t>S37</t>
        </is>
      </c>
      <c r="C37" t="inlineStr">
        <is>
          <t>Fronteiras: CAC (assintomático) ≠ CCTA (sintomático)</t>
        </is>
      </c>
      <c r="D37" t="inlineStr">
        <is>
          <t>GRADE/src/slides/S37.html</t>
        </is>
      </c>
      <c r="E37" t="inlineStr">
        <is>
          <t>DRAFT</t>
        </is>
      </c>
      <c r="F37" t="inlineStr">
        <is>
          <t>No</t>
        </is>
      </c>
      <c r="G37" t="inlineStr">
        <is>
          <t>No</t>
        </is>
      </c>
      <c r="H37" t="inlineStr">
        <is>
          <t>No</t>
        </is>
      </c>
      <c r="I37" t="inlineStr">
        <is>
          <t>Medium</t>
        </is>
      </c>
      <c r="K37">
        <f>IF(AND(E37="READY",F37="No",G37="Yes",H37="Yes"),"Yes","No")</f>
        <v/>
      </c>
      <c r="L37" s="10" t="n">
        <v>46044</v>
      </c>
      <c r="M37" t="inlineStr">
        <is>
          <t>P2: refino narrativo + Q&amp;A (respostas curtas)</t>
        </is>
      </c>
    </row>
    <row r="38">
      <c r="A38" t="inlineStr">
        <is>
          <t>GRADE</t>
        </is>
      </c>
      <c r="B38" t="inlineStr">
        <is>
          <t>S38</t>
        </is>
      </c>
      <c r="C38" t="inlineStr">
        <is>
          <t>SCOT-HEART (CCTA em dor torácica): o que importa</t>
        </is>
      </c>
      <c r="D38" t="inlineStr">
        <is>
          <t>GRADE/src/slides/S38.html</t>
        </is>
      </c>
      <c r="E38" t="inlineStr">
        <is>
          <t>DRAFT</t>
        </is>
      </c>
      <c r="F38" t="inlineStr">
        <is>
          <t>No</t>
        </is>
      </c>
      <c r="G38" t="inlineStr">
        <is>
          <t>No</t>
        </is>
      </c>
      <c r="H38" t="inlineStr">
        <is>
          <t>No</t>
        </is>
      </c>
      <c r="I38" t="inlineStr">
        <is>
          <t>Medium</t>
        </is>
      </c>
      <c r="K38">
        <f>IF(AND(E38="READY",F38="No",G38="Yes",H38="Yes"),"Yes","No")</f>
        <v/>
      </c>
      <c r="L38" s="10" t="n">
        <v>46044</v>
      </c>
      <c r="M38" t="inlineStr">
        <is>
          <t>P2: refino narrativo + Q&amp;A (respostas curtas)</t>
        </is>
      </c>
    </row>
    <row r="39">
      <c r="A39" t="inlineStr">
        <is>
          <t>GRADE</t>
        </is>
      </c>
      <c r="B39" t="inlineStr">
        <is>
          <t>S39</t>
        </is>
      </c>
      <c r="C39" t="inlineStr">
        <is>
          <t>Aspirina guiada por CAC: por que é tentador e por que é ‘EtD pesado’</t>
        </is>
      </c>
      <c r="D39" t="inlineStr">
        <is>
          <t>GRADE/src/slides/S39.html</t>
        </is>
      </c>
      <c r="E39" t="inlineStr">
        <is>
          <t>DRAFT</t>
        </is>
      </c>
      <c r="F39" t="inlineStr">
        <is>
          <t>No</t>
        </is>
      </c>
      <c r="G39" t="inlineStr">
        <is>
          <t>No</t>
        </is>
      </c>
      <c r="H39" t="inlineStr">
        <is>
          <t>No</t>
        </is>
      </c>
      <c r="I39" t="inlineStr">
        <is>
          <t>Medium</t>
        </is>
      </c>
      <c r="K39">
        <f>IF(AND(E39="READY",F39="No",G39="Yes",H39="Yes"),"Yes","No")</f>
        <v/>
      </c>
      <c r="L39" s="10" t="n">
        <v>46044</v>
      </c>
      <c r="M39" t="inlineStr">
        <is>
          <t>P2: refino narrativo + Q&amp;A (respostas curtas)</t>
        </is>
      </c>
    </row>
    <row r="40">
      <c r="A40" t="inlineStr">
        <is>
          <t>GRADE</t>
        </is>
      </c>
      <c r="B40" t="inlineStr">
        <is>
          <t>S40</t>
        </is>
      </c>
      <c r="C40" t="inlineStr">
        <is>
          <t>CAC Staging (2024): proposta, não guideline</t>
        </is>
      </c>
      <c r="D40" t="inlineStr">
        <is>
          <t>GRADE/src/slides/S40.html</t>
        </is>
      </c>
      <c r="E40" t="inlineStr">
        <is>
          <t>DRAFT</t>
        </is>
      </c>
      <c r="F40" t="inlineStr">
        <is>
          <t>No</t>
        </is>
      </c>
      <c r="G40" t="inlineStr">
        <is>
          <t>No</t>
        </is>
      </c>
      <c r="H40" t="inlineStr">
        <is>
          <t>No</t>
        </is>
      </c>
      <c r="I40" t="inlineStr">
        <is>
          <t>Medium</t>
        </is>
      </c>
      <c r="K40">
        <f>IF(AND(E40="READY",F40="No",G40="Yes",H40="Yes"),"Yes","No")</f>
        <v/>
      </c>
      <c r="L40" s="10" t="n">
        <v>46044</v>
      </c>
      <c r="M40" t="inlineStr">
        <is>
          <t>P2: refino narrativo + Q&amp;A (respostas curtas)</t>
        </is>
      </c>
    </row>
    <row r="41">
      <c r="A41" t="inlineStr">
        <is>
          <t>GRADE</t>
        </is>
      </c>
      <c r="B41" t="inlineStr">
        <is>
          <t>S41</t>
        </is>
      </c>
      <c r="C41" t="inlineStr">
        <is>
          <t>Rescan: só se for mudar conduta</t>
        </is>
      </c>
      <c r="D41" t="inlineStr">
        <is>
          <t>GRADE/src/slides/S41.html</t>
        </is>
      </c>
      <c r="E41" t="inlineStr">
        <is>
          <t>DRAFT</t>
        </is>
      </c>
      <c r="F41" t="inlineStr">
        <is>
          <t>No</t>
        </is>
      </c>
      <c r="G41" t="inlineStr">
        <is>
          <t>No</t>
        </is>
      </c>
      <c r="H41" t="inlineStr">
        <is>
          <t>No</t>
        </is>
      </c>
      <c r="I41" t="inlineStr">
        <is>
          <t>Medium</t>
        </is>
      </c>
      <c r="K41">
        <f>IF(AND(E41="READY",F41="No",G41="Yes",H41="Yes"),"Yes","No")</f>
        <v/>
      </c>
      <c r="L41" s="10" t="n">
        <v>46044</v>
      </c>
      <c r="M41" t="inlineStr">
        <is>
          <t>P2: refino narrativo + Q&amp;A (respostas curtas)</t>
        </is>
      </c>
    </row>
    <row r="42">
      <c r="A42" t="inlineStr">
        <is>
          <t>GRADE</t>
        </is>
      </c>
      <c r="B42" t="inlineStr">
        <is>
          <t>S42</t>
        </is>
      </c>
      <c r="C42" t="inlineStr">
        <is>
          <t>Se perguntarem X, responda Y (curto)</t>
        </is>
      </c>
      <c r="D42" t="inlineStr">
        <is>
          <t>GRADE/src/slides/S42.html</t>
        </is>
      </c>
      <c r="E42" t="inlineStr">
        <is>
          <t>DRAFT</t>
        </is>
      </c>
      <c r="F42" t="inlineStr">
        <is>
          <t>No</t>
        </is>
      </c>
      <c r="G42" t="inlineStr">
        <is>
          <t>No</t>
        </is>
      </c>
      <c r="H42" t="inlineStr">
        <is>
          <t>No</t>
        </is>
      </c>
      <c r="I42" t="inlineStr">
        <is>
          <t>Medium</t>
        </is>
      </c>
      <c r="K42">
        <f>IF(AND(E42="READY",F42="No",G42="Yes",H42="Yes"),"Yes","No")</f>
        <v/>
      </c>
      <c r="L42" s="10" t="n">
        <v>46044</v>
      </c>
      <c r="M42" t="inlineStr">
        <is>
          <t>P2: refino narrativo + Q&amp;A (respostas curtas)</t>
        </is>
      </c>
    </row>
    <row r="43">
      <c r="A43" t="inlineStr">
        <is>
          <t>GRADE</t>
        </is>
      </c>
      <c r="B43" t="inlineStr">
        <is>
          <t>S43</t>
        </is>
      </c>
      <c r="C43" t="inlineStr">
        <is>
          <t>SAMS: O Problema Clínico que Aumenta Risco Cardiovascular</t>
        </is>
      </c>
      <c r="D43" t="inlineStr">
        <is>
          <t>GRADE/src/slides/S43.html</t>
        </is>
      </c>
      <c r="E43" t="inlineStr">
        <is>
          <t>READY</t>
        </is>
      </c>
      <c r="F43" t="inlineStr">
        <is>
          <t>No</t>
        </is>
      </c>
      <c r="G43" t="inlineStr">
        <is>
          <t>Yes</t>
        </is>
      </c>
      <c r="H43" t="inlineStr">
        <is>
          <t>Yes</t>
        </is>
      </c>
      <c r="I43" t="inlineStr">
        <is>
          <t>Medium</t>
        </is>
      </c>
      <c r="J43" t="n">
        <v>9</v>
      </c>
      <c r="K43">
        <f>IF(AND(E43="READY",F43="No",G43="Yes",H43="Yes"),"Yes","No")</f>
        <v/>
      </c>
      <c r="L43" s="10" t="n">
        <v>46044</v>
      </c>
      <c r="M43" t="inlineStr">
        <is>
          <t>P2: checar contraste do painel escuro em projetor</t>
        </is>
      </c>
      <c r="N43" t="inlineStr">
        <is>
          <t>Fix: texto ilegível no navy (Rabdomiólise/contraindicação).</t>
        </is>
      </c>
    </row>
    <row r="44">
      <c r="A44" t="inlineStr">
        <is>
          <t>GRADE</t>
        </is>
      </c>
      <c r="B44" t="inlineStr">
        <is>
          <t>S44</t>
        </is>
      </c>
      <c r="C44" t="inlineStr">
        <is>
          <t>Bempedoic Acid para Redução de MACE</t>
        </is>
      </c>
      <c r="D44" t="inlineStr">
        <is>
          <t>GRADE/src/slides/S44.html</t>
        </is>
      </c>
      <c r="E44" t="inlineStr">
        <is>
          <t>DRAFT</t>
        </is>
      </c>
      <c r="F44" t="inlineStr">
        <is>
          <t>No</t>
        </is>
      </c>
      <c r="G44" t="inlineStr">
        <is>
          <t>No</t>
        </is>
      </c>
      <c r="H44" t="inlineStr">
        <is>
          <t>No</t>
        </is>
      </c>
      <c r="I44" t="inlineStr">
        <is>
          <t>Medium</t>
        </is>
      </c>
      <c r="K44">
        <f>IF(AND(E44="READY",F44="No",G44="Yes",H44="Yes"),"Yes","No")</f>
        <v/>
      </c>
      <c r="L44" s="10" t="n">
        <v>46044</v>
      </c>
      <c r="M44" t="inlineStr">
        <is>
          <t>P1: revisão final de síntese + consistência de termos</t>
        </is>
      </c>
    </row>
    <row r="45">
      <c r="A45" t="inlineStr">
        <is>
          <t>GRADE</t>
        </is>
      </c>
      <c r="B45" t="inlineStr">
        <is>
          <t>S45</t>
        </is>
      </c>
      <c r="C45" t="inlineStr">
        <is>
          <t>Tensão Metodológica em Recomendações Brasileiras</t>
        </is>
      </c>
      <c r="D45" t="inlineStr">
        <is>
          <t>GRADE/src/slides/S45.html</t>
        </is>
      </c>
      <c r="E45" t="inlineStr">
        <is>
          <t>DRAFT</t>
        </is>
      </c>
      <c r="F45" t="inlineStr">
        <is>
          <t>No</t>
        </is>
      </c>
      <c r="G45" t="inlineStr">
        <is>
          <t>No</t>
        </is>
      </c>
      <c r="H45" t="inlineStr">
        <is>
          <t>No</t>
        </is>
      </c>
      <c r="I45" t="inlineStr">
        <is>
          <t>Medium</t>
        </is>
      </c>
      <c r="K45">
        <f>IF(AND(E45="READY",F45="No",G45="Yes",H45="Yes"),"Yes","No")</f>
        <v/>
      </c>
      <c r="L45" s="10" t="n">
        <v>46044</v>
      </c>
      <c r="M45" t="inlineStr">
        <is>
          <t>P1: revisão final de síntese + consistência de termos</t>
        </is>
      </c>
    </row>
    <row r="46">
      <c r="A46" t="inlineStr">
        <is>
          <t>GRADE</t>
        </is>
      </c>
      <c r="B46" t="inlineStr">
        <is>
          <t>S46</t>
        </is>
      </c>
      <c r="C46" t="inlineStr">
        <is>
          <t>Síntese GRADE + Contexto Brasileiro</t>
        </is>
      </c>
      <c r="D46" t="inlineStr">
        <is>
          <t>GRADE/src/slides/S46.html</t>
        </is>
      </c>
      <c r="E46" t="inlineStr">
        <is>
          <t>READY</t>
        </is>
      </c>
      <c r="F46" t="inlineStr">
        <is>
          <t>No</t>
        </is>
      </c>
      <c r="G46" t="inlineStr">
        <is>
          <t>Yes</t>
        </is>
      </c>
      <c r="H46" t="inlineStr">
        <is>
          <t>Yes</t>
        </is>
      </c>
      <c r="I46" t="inlineStr">
        <is>
          <t>Low</t>
        </is>
      </c>
      <c r="J46" t="n">
        <v>9</v>
      </c>
      <c r="K46">
        <f>IF(AND(E46="READY",F46="No",G46="Yes",H46="Yes"),"Yes","No")</f>
        <v/>
      </c>
      <c r="L46" s="10" t="n">
        <v>46044</v>
      </c>
      <c r="M46" t="inlineStr">
        <is>
          <t>P2: checar contraste do painel BR em projetor</t>
        </is>
      </c>
      <c r="N46" t="inlineStr">
        <is>
          <t>Fix: 'PCSK9i indisponível no SUS' agora em vermelho legível no navy.</t>
        </is>
      </c>
    </row>
    <row r="47">
      <c r="A47" t="inlineStr">
        <is>
          <t>OSTEO</t>
        </is>
      </c>
      <c r="B47" t="inlineStr">
        <is>
          <t>O01</t>
        </is>
      </c>
      <c r="D47" t="inlineStr">
        <is>
          <t>OSTEOPOROSE/src/slides/O01.html</t>
        </is>
      </c>
      <c r="E47" t="inlineStr">
        <is>
          <t>HOLD</t>
        </is>
      </c>
      <c r="F47" t="inlineStr">
        <is>
          <t>No</t>
        </is>
      </c>
      <c r="K47">
        <f>IF(AND(E47="READY",F47="No",G47="Yes",H47="Yes"),"Yes","No")</f>
        <v/>
      </c>
      <c r="N47" t="inlineStr">
        <is>
          <t>Read-only until unlocked</t>
        </is>
      </c>
    </row>
    <row r="48">
      <c r="A48" t="inlineStr">
        <is>
          <t>OSTEO</t>
        </is>
      </c>
      <c r="B48" t="inlineStr">
        <is>
          <t>O02</t>
        </is>
      </c>
      <c r="D48" t="inlineStr">
        <is>
          <t>OSTEOPOROSE/src/slides/O02.html</t>
        </is>
      </c>
      <c r="E48" t="inlineStr">
        <is>
          <t>HOLD</t>
        </is>
      </c>
      <c r="F48" t="inlineStr">
        <is>
          <t>No</t>
        </is>
      </c>
      <c r="K48">
        <f>IF(AND(E48="READY",F48="No",G48="Yes",H48="Yes"),"Yes","No")</f>
        <v/>
      </c>
      <c r="N48" t="inlineStr">
        <is>
          <t>Read-only until unlocked</t>
        </is>
      </c>
    </row>
    <row r="49">
      <c r="A49" t="inlineStr">
        <is>
          <t>OSTEO</t>
        </is>
      </c>
      <c r="B49" t="inlineStr">
        <is>
          <t>O03</t>
        </is>
      </c>
      <c r="D49" t="inlineStr">
        <is>
          <t>OSTEOPOROSE/src/slides/O03.html</t>
        </is>
      </c>
      <c r="E49" t="inlineStr">
        <is>
          <t>HOLD</t>
        </is>
      </c>
      <c r="F49" t="inlineStr">
        <is>
          <t>No</t>
        </is>
      </c>
      <c r="K49">
        <f>IF(AND(E49="READY",F49="No",G49="Yes",H49="Yes"),"Yes","No")</f>
        <v/>
      </c>
      <c r="N49" t="inlineStr">
        <is>
          <t>Read-only until unlocked</t>
        </is>
      </c>
    </row>
    <row r="50">
      <c r="A50" t="inlineStr">
        <is>
          <t>OSTEO</t>
        </is>
      </c>
      <c r="B50" t="inlineStr">
        <is>
          <t>O04</t>
        </is>
      </c>
      <c r="D50" t="inlineStr">
        <is>
          <t>OSTEOPOROSE/src/slides/O04.html</t>
        </is>
      </c>
      <c r="E50" t="inlineStr">
        <is>
          <t>HOLD</t>
        </is>
      </c>
      <c r="F50" t="inlineStr">
        <is>
          <t>No</t>
        </is>
      </c>
      <c r="K50">
        <f>IF(AND(E50="READY",F50="No",G50="Yes",H50="Yes"),"Yes","No")</f>
        <v/>
      </c>
      <c r="N50" t="inlineStr">
        <is>
          <t>Read-only until unlocked</t>
        </is>
      </c>
    </row>
    <row r="51">
      <c r="A51" t="inlineStr">
        <is>
          <t>OSTEO</t>
        </is>
      </c>
      <c r="B51" t="inlineStr">
        <is>
          <t>O05</t>
        </is>
      </c>
      <c r="D51" t="inlineStr">
        <is>
          <t>OSTEOPOROSE/src/slides/O05.html</t>
        </is>
      </c>
      <c r="E51" t="inlineStr">
        <is>
          <t>HOLD</t>
        </is>
      </c>
      <c r="F51" t="inlineStr">
        <is>
          <t>No</t>
        </is>
      </c>
      <c r="K51">
        <f>IF(AND(E51="READY",F51="No",G51="Yes",H51="Yes"),"Yes","No")</f>
        <v/>
      </c>
      <c r="N51" t="inlineStr">
        <is>
          <t>Read-only until unlocked</t>
        </is>
      </c>
    </row>
    <row r="52">
      <c r="A52" t="inlineStr">
        <is>
          <t>OSTEO</t>
        </is>
      </c>
      <c r="B52" t="inlineStr">
        <is>
          <t>O06</t>
        </is>
      </c>
      <c r="D52" t="inlineStr">
        <is>
          <t>OSTEOPOROSE/src/slides/O06.html</t>
        </is>
      </c>
      <c r="E52" t="inlineStr">
        <is>
          <t>HOLD</t>
        </is>
      </c>
      <c r="F52" t="inlineStr">
        <is>
          <t>No</t>
        </is>
      </c>
      <c r="K52">
        <f>IF(AND(E52="READY",F52="No",G52="Yes",H52="Yes"),"Yes","No")</f>
        <v/>
      </c>
      <c r="N52" t="inlineStr">
        <is>
          <t>Read-only until unlocked</t>
        </is>
      </c>
    </row>
    <row r="53">
      <c r="A53" t="inlineStr">
        <is>
          <t>OSTEO</t>
        </is>
      </c>
      <c r="B53" t="inlineStr">
        <is>
          <t>O07</t>
        </is>
      </c>
      <c r="D53" t="inlineStr">
        <is>
          <t>OSTEOPOROSE/src/slides/O07.html</t>
        </is>
      </c>
      <c r="E53" t="inlineStr">
        <is>
          <t>HOLD</t>
        </is>
      </c>
      <c r="F53" t="inlineStr">
        <is>
          <t>No</t>
        </is>
      </c>
      <c r="K53">
        <f>IF(AND(E53="READY",F53="No",G53="Yes",H53="Yes"),"Yes","No")</f>
        <v/>
      </c>
      <c r="N53" t="inlineStr">
        <is>
          <t>Read-only until unlocked</t>
        </is>
      </c>
    </row>
    <row r="54">
      <c r="A54" t="inlineStr">
        <is>
          <t>OSTEO</t>
        </is>
      </c>
      <c r="B54" t="inlineStr">
        <is>
          <t>O08</t>
        </is>
      </c>
      <c r="D54" t="inlineStr">
        <is>
          <t>OSTEOPOROSE/src/slides/O08.html</t>
        </is>
      </c>
      <c r="E54" t="inlineStr">
        <is>
          <t>HOLD</t>
        </is>
      </c>
      <c r="F54" t="inlineStr">
        <is>
          <t>No</t>
        </is>
      </c>
      <c r="K54">
        <f>IF(AND(E54="READY",F54="No",G54="Yes",H54="Yes"),"Yes","No")</f>
        <v/>
      </c>
      <c r="N54" t="inlineStr">
        <is>
          <t>Read-only until unlocked</t>
        </is>
      </c>
    </row>
    <row r="55">
      <c r="A55" t="inlineStr">
        <is>
          <t>OSTEO</t>
        </is>
      </c>
      <c r="B55" t="inlineStr">
        <is>
          <t>O09</t>
        </is>
      </c>
      <c r="D55" t="inlineStr">
        <is>
          <t>OSTEOPOROSE/src/slides/O09.html</t>
        </is>
      </c>
      <c r="E55" t="inlineStr">
        <is>
          <t>HOLD</t>
        </is>
      </c>
      <c r="F55" t="inlineStr">
        <is>
          <t>No</t>
        </is>
      </c>
      <c r="K55">
        <f>IF(AND(E55="READY",F55="No",G55="Yes",H55="Yes"),"Yes","No")</f>
        <v/>
      </c>
      <c r="N55" t="inlineStr">
        <is>
          <t>Read-only until unlocked</t>
        </is>
      </c>
    </row>
    <row r="56">
      <c r="A56" t="inlineStr">
        <is>
          <t>OSTEO</t>
        </is>
      </c>
      <c r="B56" t="inlineStr">
        <is>
          <t>O10</t>
        </is>
      </c>
      <c r="D56" t="inlineStr">
        <is>
          <t>OSTEOPOROSE/src/slides/O10.html</t>
        </is>
      </c>
      <c r="E56" t="inlineStr">
        <is>
          <t>HOLD</t>
        </is>
      </c>
      <c r="F56" t="inlineStr">
        <is>
          <t>No</t>
        </is>
      </c>
      <c r="K56">
        <f>IF(AND(E56="READY",F56="No",G56="Yes",H56="Yes"),"Yes","No")</f>
        <v/>
      </c>
      <c r="N56" t="inlineStr">
        <is>
          <t>Read-only until unlocked</t>
        </is>
      </c>
    </row>
    <row r="57">
      <c r="A57" t="inlineStr">
        <is>
          <t>OSTEO</t>
        </is>
      </c>
      <c r="B57" t="inlineStr">
        <is>
          <t>O11</t>
        </is>
      </c>
      <c r="D57" t="inlineStr">
        <is>
          <t>OSTEOPOROSE/src/slides/O11.html</t>
        </is>
      </c>
      <c r="E57" t="inlineStr">
        <is>
          <t>HOLD</t>
        </is>
      </c>
      <c r="F57" t="inlineStr">
        <is>
          <t>No</t>
        </is>
      </c>
      <c r="K57">
        <f>IF(AND(E57="READY",F57="No",G57="Yes",H57="Yes"),"Yes","No")</f>
        <v/>
      </c>
      <c r="N57" t="inlineStr">
        <is>
          <t>Read-only until unlocked</t>
        </is>
      </c>
    </row>
    <row r="58">
      <c r="A58" t="inlineStr">
        <is>
          <t>OSTEO</t>
        </is>
      </c>
      <c r="B58" t="inlineStr">
        <is>
          <t>O12</t>
        </is>
      </c>
      <c r="D58" t="inlineStr">
        <is>
          <t>OSTEOPOROSE/src/slides/O12.html</t>
        </is>
      </c>
      <c r="E58" t="inlineStr">
        <is>
          <t>HOLD</t>
        </is>
      </c>
      <c r="F58" t="inlineStr">
        <is>
          <t>No</t>
        </is>
      </c>
      <c r="K58">
        <f>IF(AND(E58="READY",F58="No",G58="Yes",H58="Yes"),"Yes","No")</f>
        <v/>
      </c>
      <c r="N58" t="inlineStr">
        <is>
          <t>Read-only until unlocked</t>
        </is>
      </c>
    </row>
    <row r="59">
      <c r="A59" t="inlineStr">
        <is>
          <t>OSTEO</t>
        </is>
      </c>
      <c r="B59" t="inlineStr">
        <is>
          <t>O13</t>
        </is>
      </c>
      <c r="D59" t="inlineStr">
        <is>
          <t>OSTEOPOROSE/src/slides/O13.html</t>
        </is>
      </c>
      <c r="E59" t="inlineStr">
        <is>
          <t>HOLD</t>
        </is>
      </c>
      <c r="F59" t="inlineStr">
        <is>
          <t>No</t>
        </is>
      </c>
      <c r="K59">
        <f>IF(AND(E59="READY",F59="No",G59="Yes",H59="Yes"),"Yes","No")</f>
        <v/>
      </c>
      <c r="N59" t="inlineStr">
        <is>
          <t>Read-only until unlocked</t>
        </is>
      </c>
    </row>
    <row r="60">
      <c r="A60" t="inlineStr">
        <is>
          <t>OSTEO</t>
        </is>
      </c>
      <c r="B60" t="inlineStr">
        <is>
          <t>O14</t>
        </is>
      </c>
      <c r="D60" t="inlineStr">
        <is>
          <t>OSTEOPOROSE/src/slides/O14.html</t>
        </is>
      </c>
      <c r="E60" t="inlineStr">
        <is>
          <t>HOLD</t>
        </is>
      </c>
      <c r="F60" t="inlineStr">
        <is>
          <t>No</t>
        </is>
      </c>
      <c r="K60">
        <f>IF(AND(E60="READY",F60="No",G60="Yes",H60="Yes"),"Yes","No")</f>
        <v/>
      </c>
      <c r="N60" t="inlineStr">
        <is>
          <t>Read-only until unlocked</t>
        </is>
      </c>
    </row>
    <row r="61">
      <c r="A61" t="inlineStr">
        <is>
          <t>OSTEO</t>
        </is>
      </c>
      <c r="B61" t="inlineStr">
        <is>
          <t>O15</t>
        </is>
      </c>
      <c r="D61" t="inlineStr">
        <is>
          <t>OSTEOPOROSE/src/slides/O15.html</t>
        </is>
      </c>
      <c r="E61" t="inlineStr">
        <is>
          <t>HOLD</t>
        </is>
      </c>
      <c r="F61" t="inlineStr">
        <is>
          <t>No</t>
        </is>
      </c>
      <c r="K61">
        <f>IF(AND(E61="READY",F61="No",G61="Yes",H61="Yes"),"Yes","No")</f>
        <v/>
      </c>
      <c r="N61" t="inlineStr">
        <is>
          <t>Read-only until unlocked</t>
        </is>
      </c>
    </row>
    <row r="62">
      <c r="A62" t="inlineStr">
        <is>
          <t>OSTEO</t>
        </is>
      </c>
      <c r="B62" t="inlineStr">
        <is>
          <t>O16</t>
        </is>
      </c>
      <c r="D62" t="inlineStr">
        <is>
          <t>OSTEOPOROSE/src/slides/O16.html</t>
        </is>
      </c>
      <c r="E62" t="inlineStr">
        <is>
          <t>HOLD</t>
        </is>
      </c>
      <c r="F62" t="inlineStr">
        <is>
          <t>No</t>
        </is>
      </c>
      <c r="K62">
        <f>IF(AND(E62="READY",F62="No",G62="Yes",H62="Yes"),"Yes","No")</f>
        <v/>
      </c>
      <c r="N62" t="inlineStr">
        <is>
          <t>Read-only until unlocked</t>
        </is>
      </c>
    </row>
    <row r="63">
      <c r="A63" t="inlineStr">
        <is>
          <t>OSTEO</t>
        </is>
      </c>
      <c r="B63" t="inlineStr">
        <is>
          <t>O17</t>
        </is>
      </c>
      <c r="D63" t="inlineStr">
        <is>
          <t>OSTEOPOROSE/src/slides/O17.html</t>
        </is>
      </c>
      <c r="E63" t="inlineStr">
        <is>
          <t>HOLD</t>
        </is>
      </c>
      <c r="F63" t="inlineStr">
        <is>
          <t>No</t>
        </is>
      </c>
      <c r="K63">
        <f>IF(AND(E63="READY",F63="No",G63="Yes",H63="Yes"),"Yes","No")</f>
        <v/>
      </c>
      <c r="N63" t="inlineStr">
        <is>
          <t>Read-only until unlocked</t>
        </is>
      </c>
    </row>
    <row r="64">
      <c r="A64" t="inlineStr">
        <is>
          <t>OSTEO</t>
        </is>
      </c>
      <c r="B64" t="inlineStr">
        <is>
          <t>O18</t>
        </is>
      </c>
      <c r="D64" t="inlineStr">
        <is>
          <t>OSTEOPOROSE/src/slides/O18.html</t>
        </is>
      </c>
      <c r="E64" t="inlineStr">
        <is>
          <t>HOLD</t>
        </is>
      </c>
      <c r="F64" t="inlineStr">
        <is>
          <t>No</t>
        </is>
      </c>
      <c r="K64">
        <f>IF(AND(E64="READY",F64="No",G64="Yes",H64="Yes"),"Yes","No")</f>
        <v/>
      </c>
      <c r="N64" t="inlineStr">
        <is>
          <t>Read-only until unlocked</t>
        </is>
      </c>
    </row>
    <row r="65">
      <c r="A65" t="inlineStr">
        <is>
          <t>OSTEO</t>
        </is>
      </c>
      <c r="B65" t="inlineStr">
        <is>
          <t>O19</t>
        </is>
      </c>
      <c r="D65" t="inlineStr">
        <is>
          <t>OSTEOPOROSE/src/slides/O19.html</t>
        </is>
      </c>
      <c r="E65" t="inlineStr">
        <is>
          <t>HOLD</t>
        </is>
      </c>
      <c r="F65" t="inlineStr">
        <is>
          <t>No</t>
        </is>
      </c>
      <c r="K65">
        <f>IF(AND(E65="READY",F65="No",G65="Yes",H65="Yes"),"Yes","No")</f>
        <v/>
      </c>
      <c r="N65" t="inlineStr">
        <is>
          <t>Read-only until unlocked</t>
        </is>
      </c>
    </row>
    <row r="66">
      <c r="A66" t="inlineStr">
        <is>
          <t>OSTEO</t>
        </is>
      </c>
      <c r="B66" t="inlineStr">
        <is>
          <t>O20</t>
        </is>
      </c>
      <c r="D66" t="inlineStr">
        <is>
          <t>OSTEOPOROSE/src/slides/O20.html</t>
        </is>
      </c>
      <c r="E66" t="inlineStr">
        <is>
          <t>HOLD</t>
        </is>
      </c>
      <c r="F66" t="inlineStr">
        <is>
          <t>No</t>
        </is>
      </c>
      <c r="K66">
        <f>IF(AND(E66="READY",F66="No",G66="Yes",H66="Yes"),"Yes","No")</f>
        <v/>
      </c>
      <c r="N66" t="inlineStr">
        <is>
          <t>Read-only until unlocked</t>
        </is>
      </c>
    </row>
    <row r="67">
      <c r="A67" t="inlineStr">
        <is>
          <t>OSTEO</t>
        </is>
      </c>
      <c r="B67" t="inlineStr">
        <is>
          <t>O21</t>
        </is>
      </c>
      <c r="D67" t="inlineStr">
        <is>
          <t>OSTEOPOROSE/src/slides/O21.html</t>
        </is>
      </c>
      <c r="E67" t="inlineStr">
        <is>
          <t>HOLD</t>
        </is>
      </c>
      <c r="F67" t="inlineStr">
        <is>
          <t>No</t>
        </is>
      </c>
      <c r="K67">
        <f>IF(AND(E67="READY",F67="No",G67="Yes",H67="Yes"),"Yes","No")</f>
        <v/>
      </c>
      <c r="N67" t="inlineStr">
        <is>
          <t>Read-only until unlocked</t>
        </is>
      </c>
    </row>
    <row r="68">
      <c r="A68" t="inlineStr">
        <is>
          <t>OSTEO</t>
        </is>
      </c>
      <c r="B68" t="inlineStr">
        <is>
          <t>O22</t>
        </is>
      </c>
      <c r="D68" t="inlineStr">
        <is>
          <t>OSTEOPOROSE/src/slides/O22.html</t>
        </is>
      </c>
      <c r="E68" t="inlineStr">
        <is>
          <t>HOLD</t>
        </is>
      </c>
      <c r="F68" t="inlineStr">
        <is>
          <t>No</t>
        </is>
      </c>
      <c r="K68">
        <f>IF(AND(E68="READY",F68="No",G68="Yes",H68="Yes"),"Yes","No")</f>
        <v/>
      </c>
      <c r="N68" t="inlineStr">
        <is>
          <t>Read-only until unlocked</t>
        </is>
      </c>
    </row>
    <row r="69">
      <c r="A69" t="inlineStr">
        <is>
          <t>OSTEO</t>
        </is>
      </c>
      <c r="B69" t="inlineStr">
        <is>
          <t>O23</t>
        </is>
      </c>
      <c r="D69" t="inlineStr">
        <is>
          <t>OSTEOPOROSE/src/slides/O23.html</t>
        </is>
      </c>
      <c r="E69" t="inlineStr">
        <is>
          <t>HOLD</t>
        </is>
      </c>
      <c r="F69" t="inlineStr">
        <is>
          <t>No</t>
        </is>
      </c>
      <c r="K69">
        <f>IF(AND(E69="READY",F69="No",G69="Yes",H69="Yes"),"Yes","No")</f>
        <v/>
      </c>
      <c r="N69" t="inlineStr">
        <is>
          <t>Read-only until unlocked</t>
        </is>
      </c>
    </row>
    <row r="70">
      <c r="A70" t="inlineStr">
        <is>
          <t>OSTEO</t>
        </is>
      </c>
      <c r="B70" t="inlineStr">
        <is>
          <t>O24</t>
        </is>
      </c>
      <c r="D70" t="inlineStr">
        <is>
          <t>OSTEOPOROSE/src/slides/O24.html</t>
        </is>
      </c>
      <c r="E70" t="inlineStr">
        <is>
          <t>HOLD</t>
        </is>
      </c>
      <c r="F70" t="inlineStr">
        <is>
          <t>No</t>
        </is>
      </c>
      <c r="K70">
        <f>IF(AND(E70="READY",F70="No",G70="Yes",H70="Yes"),"Yes","No")</f>
        <v/>
      </c>
      <c r="N70" t="inlineStr">
        <is>
          <t>Read-only until unlocked</t>
        </is>
      </c>
    </row>
    <row r="71">
      <c r="A71" t="inlineStr">
        <is>
          <t>OSTEO</t>
        </is>
      </c>
      <c r="B71" t="inlineStr">
        <is>
          <t>O25</t>
        </is>
      </c>
      <c r="D71" t="inlineStr">
        <is>
          <t>OSTEOPOROSE/src/slides/O25.html</t>
        </is>
      </c>
      <c r="E71" t="inlineStr">
        <is>
          <t>HOLD</t>
        </is>
      </c>
      <c r="F71" t="inlineStr">
        <is>
          <t>No</t>
        </is>
      </c>
      <c r="K71">
        <f>IF(AND(E71="READY",F71="No",G71="Yes",H71="Yes"),"Yes","No")</f>
        <v/>
      </c>
      <c r="N71" t="inlineStr">
        <is>
          <t>Read-only until unlocked</t>
        </is>
      </c>
    </row>
    <row r="72">
      <c r="A72" t="inlineStr">
        <is>
          <t>OSTEO</t>
        </is>
      </c>
      <c r="B72" t="inlineStr">
        <is>
          <t>O26</t>
        </is>
      </c>
      <c r="D72" t="inlineStr">
        <is>
          <t>OSTEOPOROSE/src/slides/O26.html</t>
        </is>
      </c>
      <c r="E72" t="inlineStr">
        <is>
          <t>HOLD</t>
        </is>
      </c>
      <c r="F72" t="inlineStr">
        <is>
          <t>No</t>
        </is>
      </c>
      <c r="K72">
        <f>IF(AND(E72="READY",F72="No",G72="Yes",H72="Yes"),"Yes","No")</f>
        <v/>
      </c>
      <c r="N72" t="inlineStr">
        <is>
          <t>Read-only until unlocked</t>
        </is>
      </c>
    </row>
    <row r="73">
      <c r="A73" t="inlineStr">
        <is>
          <t>OSTEO</t>
        </is>
      </c>
      <c r="B73" t="inlineStr">
        <is>
          <t>O27</t>
        </is>
      </c>
      <c r="D73" t="inlineStr">
        <is>
          <t>OSTEOPOROSE/src/slides/O27.html</t>
        </is>
      </c>
      <c r="E73" t="inlineStr">
        <is>
          <t>HOLD</t>
        </is>
      </c>
      <c r="F73" t="inlineStr">
        <is>
          <t>No</t>
        </is>
      </c>
      <c r="K73">
        <f>IF(AND(E73="READY",F73="No",G73="Yes",H73="Yes"),"Yes","No")</f>
        <v/>
      </c>
      <c r="N73" t="inlineStr">
        <is>
          <t>Read-only until unlocked</t>
        </is>
      </c>
    </row>
    <row r="74">
      <c r="A74" t="inlineStr">
        <is>
          <t>OSTEO</t>
        </is>
      </c>
      <c r="B74" t="inlineStr">
        <is>
          <t>O28</t>
        </is>
      </c>
      <c r="D74" t="inlineStr">
        <is>
          <t>OSTEOPOROSE/src/slides/O28.html</t>
        </is>
      </c>
      <c r="E74" t="inlineStr">
        <is>
          <t>HOLD</t>
        </is>
      </c>
      <c r="F74" t="inlineStr">
        <is>
          <t>No</t>
        </is>
      </c>
      <c r="K74">
        <f>IF(AND(E74="READY",F74="No",G74="Yes",H74="Yes"),"Yes","No")</f>
        <v/>
      </c>
      <c r="N74" t="inlineStr">
        <is>
          <t>Read-only until unlocked</t>
        </is>
      </c>
    </row>
    <row r="75">
      <c r="A75" t="inlineStr">
        <is>
          <t>OSTEO</t>
        </is>
      </c>
      <c r="B75" t="inlineStr">
        <is>
          <t>O29</t>
        </is>
      </c>
      <c r="D75" t="inlineStr">
        <is>
          <t>OSTEOPOROSE/src/slides/O29.html</t>
        </is>
      </c>
      <c r="E75" t="inlineStr">
        <is>
          <t>HOLD</t>
        </is>
      </c>
      <c r="F75" t="inlineStr">
        <is>
          <t>No</t>
        </is>
      </c>
      <c r="K75">
        <f>IF(AND(E75="READY",F75="No",G75="Yes",H75="Yes"),"Yes","No")</f>
        <v/>
      </c>
      <c r="N75" t="inlineStr">
        <is>
          <t>Read-only until unlocked</t>
        </is>
      </c>
    </row>
    <row r="76">
      <c r="A76" t="inlineStr">
        <is>
          <t>OSTEO</t>
        </is>
      </c>
      <c r="B76" t="inlineStr">
        <is>
          <t>O30</t>
        </is>
      </c>
      <c r="D76" t="inlineStr">
        <is>
          <t>OSTEOPOROSE/src/slides/O30.html</t>
        </is>
      </c>
      <c r="E76" t="inlineStr">
        <is>
          <t>HOLD</t>
        </is>
      </c>
      <c r="F76" t="inlineStr">
        <is>
          <t>No</t>
        </is>
      </c>
      <c r="K76">
        <f>IF(AND(E76="READY",F76="No",G76="Yes",H76="Yes"),"Yes","No")</f>
        <v/>
      </c>
      <c r="N76" t="inlineStr">
        <is>
          <t>Read-only until unlocked</t>
        </is>
      </c>
    </row>
    <row r="77">
      <c r="A77" t="inlineStr">
        <is>
          <t>OSTEO</t>
        </is>
      </c>
      <c r="B77" t="inlineStr">
        <is>
          <t>O31</t>
        </is>
      </c>
      <c r="D77" t="inlineStr">
        <is>
          <t>OSTEOPOROSE/src/slides/O31.html</t>
        </is>
      </c>
      <c r="E77" t="inlineStr">
        <is>
          <t>HOLD</t>
        </is>
      </c>
      <c r="F77" t="inlineStr">
        <is>
          <t>No</t>
        </is>
      </c>
      <c r="K77">
        <f>IF(AND(E77="READY",F77="No",G77="Yes",H77="Yes"),"Yes","No")</f>
        <v/>
      </c>
      <c r="N77" t="inlineStr">
        <is>
          <t>Read-only until unlocked</t>
        </is>
      </c>
    </row>
    <row r="78">
      <c r="A78" t="inlineStr">
        <is>
          <t>OSTEO</t>
        </is>
      </c>
      <c r="B78" t="inlineStr">
        <is>
          <t>O32</t>
        </is>
      </c>
      <c r="D78" t="inlineStr">
        <is>
          <t>OSTEOPOROSE/src/slides/O32.html</t>
        </is>
      </c>
      <c r="E78" t="inlineStr">
        <is>
          <t>HOLD</t>
        </is>
      </c>
      <c r="F78" t="inlineStr">
        <is>
          <t>No</t>
        </is>
      </c>
      <c r="K78">
        <f>IF(AND(E78="READY",F78="No",G78="Yes",H78="Yes"),"Yes","No")</f>
        <v/>
      </c>
      <c r="N78" t="inlineStr">
        <is>
          <t>Read-only until unlocked</t>
        </is>
      </c>
    </row>
    <row r="79">
      <c r="A79" t="inlineStr">
        <is>
          <t>OSTEO</t>
        </is>
      </c>
      <c r="B79" t="inlineStr">
        <is>
          <t>O33</t>
        </is>
      </c>
      <c r="D79" t="inlineStr">
        <is>
          <t>OSTEOPOROSE/src/slides/O33.html</t>
        </is>
      </c>
      <c r="E79" t="inlineStr">
        <is>
          <t>HOLD</t>
        </is>
      </c>
      <c r="F79" t="inlineStr">
        <is>
          <t>No</t>
        </is>
      </c>
      <c r="K79">
        <f>IF(AND(E79="READY",F79="No",G79="Yes",H79="Yes"),"Yes","No")</f>
        <v/>
      </c>
      <c r="N79" t="inlineStr">
        <is>
          <t>Read-only until unlocked</t>
        </is>
      </c>
    </row>
    <row r="80">
      <c r="A80" t="inlineStr">
        <is>
          <t>OSTEO</t>
        </is>
      </c>
      <c r="B80" t="inlineStr">
        <is>
          <t>O34</t>
        </is>
      </c>
      <c r="D80" t="inlineStr">
        <is>
          <t>OSTEOPOROSE/src/slides/O34.html</t>
        </is>
      </c>
      <c r="E80" t="inlineStr">
        <is>
          <t>HOLD</t>
        </is>
      </c>
      <c r="F80" t="inlineStr">
        <is>
          <t>No</t>
        </is>
      </c>
      <c r="K80">
        <f>IF(AND(E80="READY",F80="No",G80="Yes",H80="Yes"),"Yes","No")</f>
        <v/>
      </c>
      <c r="N80" t="inlineStr">
        <is>
          <t>Read-only until unlocked</t>
        </is>
      </c>
    </row>
    <row r="81">
      <c r="A81" t="inlineStr">
        <is>
          <t>OSTEO</t>
        </is>
      </c>
      <c r="B81" t="inlineStr">
        <is>
          <t>O35</t>
        </is>
      </c>
      <c r="D81" t="inlineStr">
        <is>
          <t>OSTEOPOROSE/src/slides/O35.html</t>
        </is>
      </c>
      <c r="E81" t="inlineStr">
        <is>
          <t>HOLD</t>
        </is>
      </c>
      <c r="F81" t="inlineStr">
        <is>
          <t>No</t>
        </is>
      </c>
      <c r="K81">
        <f>IF(AND(E81="READY",F81="No",G81="Yes",H81="Yes"),"Yes","No")</f>
        <v/>
      </c>
      <c r="N81" t="inlineStr">
        <is>
          <t>Read-only until unlocked</t>
        </is>
      </c>
    </row>
    <row r="82">
      <c r="A82" t="inlineStr">
        <is>
          <t>OSTEO</t>
        </is>
      </c>
      <c r="B82" t="inlineStr">
        <is>
          <t>O36</t>
        </is>
      </c>
      <c r="D82" t="inlineStr">
        <is>
          <t>OSTEOPOROSE/src/slides/O36.html</t>
        </is>
      </c>
      <c r="E82" t="inlineStr">
        <is>
          <t>HOLD</t>
        </is>
      </c>
      <c r="F82" t="inlineStr">
        <is>
          <t>No</t>
        </is>
      </c>
      <c r="K82">
        <f>IF(AND(E82="READY",F82="No",G82="Yes",H82="Yes"),"Yes","No")</f>
        <v/>
      </c>
      <c r="N82" t="inlineStr">
        <is>
          <t>Read-only until unlocked</t>
        </is>
      </c>
    </row>
    <row r="83">
      <c r="A83" t="inlineStr">
        <is>
          <t>OSTEO</t>
        </is>
      </c>
      <c r="B83" t="inlineStr">
        <is>
          <t>O37</t>
        </is>
      </c>
      <c r="D83" t="inlineStr">
        <is>
          <t>OSTEOPOROSE/src/slides/O37.html</t>
        </is>
      </c>
      <c r="E83" t="inlineStr">
        <is>
          <t>HOLD</t>
        </is>
      </c>
      <c r="F83" t="inlineStr">
        <is>
          <t>No</t>
        </is>
      </c>
      <c r="K83">
        <f>IF(AND(E83="READY",F83="No",G83="Yes",H83="Yes"),"Yes","No")</f>
        <v/>
      </c>
      <c r="N83" t="inlineStr">
        <is>
          <t>Read-only until unlocked</t>
        </is>
      </c>
    </row>
    <row r="84">
      <c r="A84" t="inlineStr">
        <is>
          <t>OSTEO</t>
        </is>
      </c>
      <c r="B84" t="inlineStr">
        <is>
          <t>O38</t>
        </is>
      </c>
      <c r="D84" t="inlineStr">
        <is>
          <t>OSTEOPOROSE/src/slides/O38.html</t>
        </is>
      </c>
      <c r="E84" t="inlineStr">
        <is>
          <t>HOLD</t>
        </is>
      </c>
      <c r="F84" t="inlineStr">
        <is>
          <t>No</t>
        </is>
      </c>
      <c r="K84">
        <f>IF(AND(E84="READY",F84="No",G84="Yes",H84="Yes"),"Yes","No")</f>
        <v/>
      </c>
      <c r="N84" t="inlineStr">
        <is>
          <t>Read-only until unlocked</t>
        </is>
      </c>
    </row>
    <row r="85">
      <c r="A85" t="inlineStr">
        <is>
          <t>OSTEO</t>
        </is>
      </c>
      <c r="B85" t="inlineStr">
        <is>
          <t>O39</t>
        </is>
      </c>
      <c r="D85" t="inlineStr">
        <is>
          <t>OSTEOPOROSE/src/slides/O39.html</t>
        </is>
      </c>
      <c r="E85" t="inlineStr">
        <is>
          <t>HOLD</t>
        </is>
      </c>
      <c r="F85" t="inlineStr">
        <is>
          <t>No</t>
        </is>
      </c>
      <c r="K85">
        <f>IF(AND(E85="READY",F85="No",G85="Yes",H85="Yes"),"Yes","No")</f>
        <v/>
      </c>
      <c r="N85" t="inlineStr">
        <is>
          <t>Read-only until unlocked</t>
        </is>
      </c>
    </row>
    <row r="86">
      <c r="A86" t="inlineStr">
        <is>
          <t>OSTEO</t>
        </is>
      </c>
      <c r="B86" t="inlineStr">
        <is>
          <t>O40</t>
        </is>
      </c>
      <c r="D86" t="inlineStr">
        <is>
          <t>OSTEOPOROSE/src/slides/O40.html</t>
        </is>
      </c>
      <c r="E86" t="inlineStr">
        <is>
          <t>HOLD</t>
        </is>
      </c>
      <c r="F86" t="inlineStr">
        <is>
          <t>No</t>
        </is>
      </c>
      <c r="K86">
        <f>IF(AND(E86="READY",F86="No",G86="Yes",H86="Yes"),"Yes","No")</f>
        <v/>
      </c>
      <c r="N86" t="inlineStr">
        <is>
          <t>Read-only until unlocked</t>
        </is>
      </c>
    </row>
    <row r="87">
      <c r="A87" t="inlineStr">
        <is>
          <t>OSTEO</t>
        </is>
      </c>
      <c r="B87" t="inlineStr">
        <is>
          <t>O41</t>
        </is>
      </c>
      <c r="D87" t="inlineStr">
        <is>
          <t>OSTEOPOROSE/src/slides/O41.html</t>
        </is>
      </c>
      <c r="E87" t="inlineStr">
        <is>
          <t>HOLD</t>
        </is>
      </c>
      <c r="F87" t="inlineStr">
        <is>
          <t>No</t>
        </is>
      </c>
      <c r="K87">
        <f>IF(AND(E87="READY",F87="No",G87="Yes",H87="Yes"),"Yes","No")</f>
        <v/>
      </c>
      <c r="N87" t="inlineStr">
        <is>
          <t>Read-only until unlocked</t>
        </is>
      </c>
    </row>
    <row r="88">
      <c r="A88" t="inlineStr">
        <is>
          <t>OSTEO</t>
        </is>
      </c>
      <c r="B88" t="inlineStr">
        <is>
          <t>O42</t>
        </is>
      </c>
      <c r="D88" t="inlineStr">
        <is>
          <t>OSTEOPOROSE/src/slides/O42.html</t>
        </is>
      </c>
      <c r="E88" t="inlineStr">
        <is>
          <t>HOLD</t>
        </is>
      </c>
      <c r="F88" t="inlineStr">
        <is>
          <t>No</t>
        </is>
      </c>
      <c r="K88">
        <f>IF(AND(E88="READY",F88="No",G88="Yes",H88="Yes"),"Yes","No")</f>
        <v/>
      </c>
      <c r="N88" t="inlineStr">
        <is>
          <t>Read-only until unlocked</t>
        </is>
      </c>
    </row>
    <row r="89">
      <c r="A89" t="inlineStr">
        <is>
          <t>OSTEO</t>
        </is>
      </c>
      <c r="B89" t="inlineStr">
        <is>
          <t>O43</t>
        </is>
      </c>
      <c r="D89" t="inlineStr">
        <is>
          <t>OSTEOPOROSE/src/slides/O43.html</t>
        </is>
      </c>
      <c r="E89" t="inlineStr">
        <is>
          <t>HOLD</t>
        </is>
      </c>
      <c r="F89" t="inlineStr">
        <is>
          <t>No</t>
        </is>
      </c>
      <c r="K89">
        <f>IF(AND(E89="READY",F89="No",G89="Yes",H89="Yes"),"Yes","No")</f>
        <v/>
      </c>
      <c r="N89" t="inlineStr">
        <is>
          <t>Read-only until unlocked</t>
        </is>
      </c>
    </row>
    <row r="90">
      <c r="A90" t="inlineStr">
        <is>
          <t>OSTEO</t>
        </is>
      </c>
      <c r="B90" t="inlineStr">
        <is>
          <t>O44</t>
        </is>
      </c>
      <c r="D90" t="inlineStr">
        <is>
          <t>OSTEOPOROSE/src/slides/O44.html</t>
        </is>
      </c>
      <c r="E90" t="inlineStr">
        <is>
          <t>HOLD</t>
        </is>
      </c>
      <c r="F90" t="inlineStr">
        <is>
          <t>No</t>
        </is>
      </c>
      <c r="K90">
        <f>IF(AND(E90="READY",F90="No",G90="Yes",H90="Yes"),"Yes","No")</f>
        <v/>
      </c>
      <c r="N90" t="inlineStr">
        <is>
          <t>Read-only until unlocked</t>
        </is>
      </c>
    </row>
    <row r="91">
      <c r="A91" t="inlineStr">
        <is>
          <t>OSTEO</t>
        </is>
      </c>
      <c r="B91" t="inlineStr">
        <is>
          <t>O45</t>
        </is>
      </c>
      <c r="D91" t="inlineStr">
        <is>
          <t>OSTEOPOROSE/src/slides/O45.html</t>
        </is>
      </c>
      <c r="E91" t="inlineStr">
        <is>
          <t>HOLD</t>
        </is>
      </c>
      <c r="F91" t="inlineStr">
        <is>
          <t>No</t>
        </is>
      </c>
      <c r="K91">
        <f>IF(AND(E91="READY",F91="No",G91="Yes",H91="Yes"),"Yes","No")</f>
        <v/>
      </c>
      <c r="N91" t="inlineStr">
        <is>
          <t>Read-only until unlocked</t>
        </is>
      </c>
    </row>
    <row r="92">
      <c r="A92" t="inlineStr">
        <is>
          <t>OSTEO</t>
        </is>
      </c>
      <c r="B92" t="inlineStr">
        <is>
          <t>O46</t>
        </is>
      </c>
      <c r="D92" t="inlineStr">
        <is>
          <t>OSTEOPOROSE/src/slides/O46.html</t>
        </is>
      </c>
      <c r="E92" t="inlineStr">
        <is>
          <t>HOLD</t>
        </is>
      </c>
      <c r="F92" t="inlineStr">
        <is>
          <t>No</t>
        </is>
      </c>
      <c r="K92">
        <f>IF(AND(E92="READY",F92="No",G92="Yes",H92="Yes"),"Yes","No")</f>
        <v/>
      </c>
      <c r="N92" t="inlineStr">
        <is>
          <t>Read-only until unlocked</t>
        </is>
      </c>
    </row>
    <row r="93">
      <c r="A93" t="inlineStr">
        <is>
          <t>OSTEO</t>
        </is>
      </c>
      <c r="B93" t="inlineStr">
        <is>
          <t>O47</t>
        </is>
      </c>
      <c r="D93" t="inlineStr">
        <is>
          <t>OSTEOPOROSE/src/slides/O47.html</t>
        </is>
      </c>
      <c r="E93" t="inlineStr">
        <is>
          <t>HOLD</t>
        </is>
      </c>
      <c r="F93" t="inlineStr">
        <is>
          <t>No</t>
        </is>
      </c>
      <c r="K93">
        <f>IF(AND(E93="READY",F93="No",G93="Yes",H93="Yes"),"Yes","No")</f>
        <v/>
      </c>
      <c r="N93" t="inlineStr">
        <is>
          <t>Read-only until unlocked</t>
        </is>
      </c>
    </row>
    <row r="94">
      <c r="A94" t="inlineStr">
        <is>
          <t>OSTEO</t>
        </is>
      </c>
      <c r="B94" t="inlineStr">
        <is>
          <t>O48</t>
        </is>
      </c>
      <c r="D94" t="inlineStr">
        <is>
          <t>OSTEOPOROSE/src/slides/O48.html</t>
        </is>
      </c>
      <c r="E94" t="inlineStr">
        <is>
          <t>HOLD</t>
        </is>
      </c>
      <c r="F94" t="inlineStr">
        <is>
          <t>No</t>
        </is>
      </c>
      <c r="K94">
        <f>IF(AND(E94="READY",F94="No",G94="Yes",H94="Yes"),"Yes","No")</f>
        <v/>
      </c>
      <c r="N94" t="inlineStr">
        <is>
          <t>Read-only until unlocked</t>
        </is>
      </c>
    </row>
    <row r="95">
      <c r="A95" t="inlineStr">
        <is>
          <t>OSTEO</t>
        </is>
      </c>
      <c r="B95" t="inlineStr">
        <is>
          <t>O49</t>
        </is>
      </c>
      <c r="D95" t="inlineStr">
        <is>
          <t>OSTEOPOROSE/src/slides/O49.html</t>
        </is>
      </c>
      <c r="E95" t="inlineStr">
        <is>
          <t>HOLD</t>
        </is>
      </c>
      <c r="F95" t="inlineStr">
        <is>
          <t>No</t>
        </is>
      </c>
      <c r="K95">
        <f>IF(AND(E95="READY",F95="No",G95="Yes",H95="Yes"),"Yes","No")</f>
        <v/>
      </c>
      <c r="N95" t="inlineStr">
        <is>
          <t>Read-only until unlocked</t>
        </is>
      </c>
    </row>
    <row r="96">
      <c r="A96" t="inlineStr">
        <is>
          <t>OSTEO</t>
        </is>
      </c>
      <c r="B96" t="inlineStr">
        <is>
          <t>O50</t>
        </is>
      </c>
      <c r="D96" t="inlineStr">
        <is>
          <t>OSTEOPOROSE/src/slides/O50.html</t>
        </is>
      </c>
      <c r="E96" t="inlineStr">
        <is>
          <t>HOLD</t>
        </is>
      </c>
      <c r="F96" t="inlineStr">
        <is>
          <t>No</t>
        </is>
      </c>
      <c r="K96">
        <f>IF(AND(E96="READY",F96="No",G96="Yes",H96="Yes"),"Yes","No")</f>
        <v/>
      </c>
      <c r="N96" t="inlineStr">
        <is>
          <t>Read-only until unlocked</t>
        </is>
      </c>
    </row>
    <row r="97">
      <c r="A97" t="inlineStr">
        <is>
          <t>OSTEO</t>
        </is>
      </c>
      <c r="B97" t="inlineStr">
        <is>
          <t>O51</t>
        </is>
      </c>
      <c r="D97" t="inlineStr">
        <is>
          <t>OSTEOPOROSE/src/slides/O51.html</t>
        </is>
      </c>
      <c r="E97" t="inlineStr">
        <is>
          <t>HOLD</t>
        </is>
      </c>
      <c r="F97" t="inlineStr">
        <is>
          <t>No</t>
        </is>
      </c>
      <c r="K97">
        <f>IF(AND(E97="READY",F97="No",G97="Yes",H97="Yes"),"Yes","No")</f>
        <v/>
      </c>
      <c r="N97" t="inlineStr">
        <is>
          <t>Read-only until unlocked</t>
        </is>
      </c>
    </row>
    <row r="98">
      <c r="A98" t="inlineStr">
        <is>
          <t>OSTEO</t>
        </is>
      </c>
      <c r="B98" t="inlineStr">
        <is>
          <t>O52</t>
        </is>
      </c>
      <c r="D98" t="inlineStr">
        <is>
          <t>OSTEOPOROSE/src/slides/O52.html</t>
        </is>
      </c>
      <c r="E98" t="inlineStr">
        <is>
          <t>HOLD</t>
        </is>
      </c>
      <c r="F98" t="inlineStr">
        <is>
          <t>No</t>
        </is>
      </c>
      <c r="K98">
        <f>IF(AND(E98="READY",F98="No",G98="Yes",H98="Yes"),"Yes","No")</f>
        <v/>
      </c>
      <c r="N98" t="inlineStr">
        <is>
          <t>Read-only until unlocked</t>
        </is>
      </c>
    </row>
    <row r="99">
      <c r="A99" t="inlineStr">
        <is>
          <t>OSTEO</t>
        </is>
      </c>
      <c r="B99" t="inlineStr">
        <is>
          <t>O53</t>
        </is>
      </c>
      <c r="D99" t="inlineStr">
        <is>
          <t>OSTEOPOROSE/src/slides/O53.html</t>
        </is>
      </c>
      <c r="E99" t="inlineStr">
        <is>
          <t>HOLD</t>
        </is>
      </c>
      <c r="F99" t="inlineStr">
        <is>
          <t>No</t>
        </is>
      </c>
      <c r="K99">
        <f>IF(AND(E99="READY",F99="No",G99="Yes",H99="Yes"),"Yes","No")</f>
        <v/>
      </c>
      <c r="N99" t="inlineStr">
        <is>
          <t>Read-only until unlocked</t>
        </is>
      </c>
    </row>
    <row r="100">
      <c r="A100" t="inlineStr">
        <is>
          <t>OSTEO</t>
        </is>
      </c>
      <c r="B100" t="inlineStr">
        <is>
          <t>O54</t>
        </is>
      </c>
      <c r="D100" t="inlineStr">
        <is>
          <t>OSTEOPOROSE/src/slides/O54.html</t>
        </is>
      </c>
      <c r="E100" t="inlineStr">
        <is>
          <t>HOLD</t>
        </is>
      </c>
      <c r="F100" t="inlineStr">
        <is>
          <t>No</t>
        </is>
      </c>
      <c r="K100">
        <f>IF(AND(E100="READY",F100="No",G100="Yes",H100="Yes"),"Yes","No")</f>
        <v/>
      </c>
      <c r="N100" t="inlineStr">
        <is>
          <t>Read-only until unlocked</t>
        </is>
      </c>
    </row>
    <row r="101">
      <c r="A101" t="inlineStr">
        <is>
          <t>OSTEO</t>
        </is>
      </c>
      <c r="B101" t="inlineStr">
        <is>
          <t>O55</t>
        </is>
      </c>
      <c r="D101" t="inlineStr">
        <is>
          <t>OSTEOPOROSE/src/slides/O55.html</t>
        </is>
      </c>
      <c r="E101" t="inlineStr">
        <is>
          <t>HOLD</t>
        </is>
      </c>
      <c r="F101" t="inlineStr">
        <is>
          <t>No</t>
        </is>
      </c>
      <c r="K101">
        <f>IF(AND(E101="READY",F101="No",G101="Yes",H101="Yes"),"Yes","No")</f>
        <v/>
      </c>
      <c r="N101" t="inlineStr">
        <is>
          <t>Read-only until unlocked</t>
        </is>
      </c>
    </row>
  </sheetData>
  <conditionalFormatting sqref="F2:F101">
    <cfRule type="expression" priority="1" dxfId="2">
      <formula>F2="Yes"</formula>
    </cfRule>
  </conditionalFormatting>
  <conditionalFormatting sqref="G2:H101">
    <cfRule type="expression" priority="2" dxfId="1">
      <formula>G2="No"</formula>
    </cfRule>
  </conditionalFormatting>
  <conditionalFormatting sqref="J2:J101">
    <cfRule type="cellIs" priority="4" operator="lessThan" dxfId="0">
      <formula>8</formula>
    </cfRule>
  </conditionalFormatting>
  <dataValidations count="3">
    <dataValidation sqref="E2:E101" showDropDown="0" showInputMessage="0" showErrorMessage="0" allowBlank="1" type="list">
      <formula1>"HOLD,DRAFT,REVIEW,OK,READY"</formula1>
    </dataValidation>
    <dataValidation sqref="F2:H101" showDropDown="0" showInputMessage="0" showErrorMessage="0" allowBlank="1" type="list">
      <formula1>"Yes,No"</formula1>
    </dataValidation>
    <dataValidation sqref="I2:I10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1" topLeftCell="A2" activePane="bottomLeft" state="frozen"/>
      <selection pane="bottomLeft" activeCell="I4" sqref="I4"/>
    </sheetView>
  </sheetViews>
  <sheetFormatPr baseColWidth="8" defaultRowHeight="14.4"/>
  <cols>
    <col width="12" customWidth="1" style="9" min="1" max="1"/>
    <col width="10" customWidth="1" style="9" min="2" max="2"/>
    <col width="13" customWidth="1" style="9" min="3" max="3"/>
    <col width="12" customWidth="1" style="9" min="4" max="4"/>
    <col width="24" customWidth="1" style="9" min="5" max="5"/>
    <col width="20" customWidth="1" style="9" min="6" max="6"/>
    <col width="17" customWidth="1" style="9" min="7" max="7"/>
    <col width="21" customWidth="1" style="9" min="8" max="8"/>
    <col width="10.109375" bestFit="1" customWidth="1" style="9" min="9" max="9"/>
    <col width="12.21875" bestFit="1" customWidth="1" style="9" min="10" max="10"/>
    <col width="20" customWidth="1" style="9" min="11" max="11"/>
    <col width="12" customWidth="1" style="9" min="12" max="13"/>
    <col width="10" customWidth="1" style="9" min="14" max="14"/>
  </cols>
  <sheetData>
    <row r="1">
      <c r="A1" s="1" t="inlineStr">
        <is>
          <t>Date</t>
        </is>
      </c>
      <c r="B1" s="1" t="inlineStr">
        <is>
          <t>Deck_ID</t>
        </is>
      </c>
      <c r="C1" s="1" t="inlineStr">
        <is>
          <t>Planned_Min</t>
        </is>
      </c>
      <c r="D1" s="1" t="inlineStr">
        <is>
          <t>Actual_Min</t>
        </is>
      </c>
      <c r="E1" s="1" t="inlineStr">
        <is>
          <t>Slides_Visual_OK_Today</t>
        </is>
      </c>
      <c r="F1" s="1" t="inlineStr">
        <is>
          <t>Slides_Ready_Today</t>
        </is>
      </c>
      <c r="G1" s="1" t="inlineStr">
        <is>
          <t>PDF_Export_Pass</t>
        </is>
      </c>
      <c r="H1" s="1" t="inlineStr">
        <is>
          <t>PDF_Export_Time_Min</t>
        </is>
      </c>
      <c r="I1" s="1" t="inlineStr">
        <is>
          <t>Study_min</t>
        </is>
      </c>
      <c r="J1" s="1" t="inlineStr">
        <is>
          <t>Study_Actual</t>
        </is>
      </c>
      <c r="K1" s="1" t="inlineStr">
        <is>
          <t>Retrieval_Sessions</t>
        </is>
      </c>
      <c r="L1" s="1" t="inlineStr">
        <is>
          <t>Teach_Back</t>
        </is>
      </c>
      <c r="M1" s="1" t="inlineStr">
        <is>
          <t>Energy_1_5</t>
        </is>
      </c>
      <c r="N1" s="1" t="inlineStr">
        <is>
          <t>Notes</t>
        </is>
      </c>
    </row>
    <row r="2">
      <c r="A2" t="inlineStr">
        <is>
          <t>2026-01-21</t>
        </is>
      </c>
      <c r="B2" t="inlineStr">
        <is>
          <t>GRADE</t>
        </is>
      </c>
      <c r="C2" t="inlineStr">
        <is>
          <t>10 slides</t>
        </is>
      </c>
      <c r="I2" t="inlineStr">
        <is>
          <t>2 pdf</t>
        </is>
      </c>
      <c r="M2" t="n">
        <v>2</v>
      </c>
    </row>
    <row r="3">
      <c r="A3" t="inlineStr">
        <is>
          <t>2026-01-21</t>
        </is>
      </c>
      <c r="B3" t="inlineStr">
        <is>
          <t>OSTEO</t>
        </is>
      </c>
      <c r="C3" t="inlineStr">
        <is>
          <t>nada</t>
        </is>
      </c>
      <c r="I3" t="inlineStr">
        <is>
          <t>1 pdf</t>
        </is>
      </c>
      <c r="M3" t="n">
        <v>2</v>
      </c>
    </row>
    <row r="4">
      <c r="A4" t="inlineStr">
        <is>
          <t>2026-01-22</t>
        </is>
      </c>
      <c r="B4" t="inlineStr">
        <is>
          <t>GRADE</t>
        </is>
      </c>
      <c r="C4" t="n">
        <v>0</v>
      </c>
      <c r="D4" t="n">
        <v>0</v>
      </c>
      <c r="E4" t="n">
        <v>45</v>
      </c>
      <c r="F4" t="n">
        <v>0</v>
      </c>
      <c r="G4" t="inlineStr">
        <is>
          <t>No</t>
        </is>
      </c>
      <c r="H4" t="n">
        <v>0</v>
      </c>
      <c r="N4" t="inlineStr">
        <is>
          <t>P0 UI pass: tokens + RGB helpers, print 16:9 (PPT), viewer hash/click/swipe, S01 contraste, S03 rework. (Tempo não rastreado)</t>
        </is>
      </c>
    </row>
    <row r="5">
      <c r="A5" t="inlineStr">
        <is>
          <t>2026-01-22</t>
        </is>
      </c>
      <c r="B5" t="inlineStr">
        <is>
          <t>OSTEO</t>
        </is>
      </c>
    </row>
    <row r="6">
      <c r="A6" t="inlineStr">
        <is>
          <t>2026-01-23</t>
        </is>
      </c>
      <c r="B6" t="inlineStr">
        <is>
          <t>GRADE</t>
        </is>
      </c>
    </row>
    <row r="7">
      <c r="A7" t="inlineStr">
        <is>
          <t>2026-01-23</t>
        </is>
      </c>
      <c r="B7" t="inlineStr">
        <is>
          <t>OSTEO</t>
        </is>
      </c>
    </row>
    <row r="8">
      <c r="A8" t="inlineStr">
        <is>
          <t>2026-01-24</t>
        </is>
      </c>
      <c r="B8" t="inlineStr">
        <is>
          <t>GRADE</t>
        </is>
      </c>
    </row>
    <row r="9">
      <c r="A9" t="inlineStr">
        <is>
          <t>2026-01-24</t>
        </is>
      </c>
      <c r="B9" t="inlineStr">
        <is>
          <t>OSTEO</t>
        </is>
      </c>
    </row>
    <row r="10">
      <c r="A10" t="inlineStr">
        <is>
          <t>2026-01-25</t>
        </is>
      </c>
      <c r="B10" t="inlineStr">
        <is>
          <t>GRADE</t>
        </is>
      </c>
    </row>
    <row r="11">
      <c r="A11" t="inlineStr">
        <is>
          <t>2026-01-25</t>
        </is>
      </c>
      <c r="B11" t="inlineStr">
        <is>
          <t>OSTEO</t>
        </is>
      </c>
    </row>
    <row r="12">
      <c r="A12" t="inlineStr">
        <is>
          <t>2026-01-26</t>
        </is>
      </c>
      <c r="B12" t="inlineStr">
        <is>
          <t>GRADE</t>
        </is>
      </c>
    </row>
    <row r="13">
      <c r="A13" t="inlineStr">
        <is>
          <t>2026-01-26</t>
        </is>
      </c>
      <c r="B13" t="inlineStr">
        <is>
          <t>OSTEO</t>
        </is>
      </c>
    </row>
    <row r="14">
      <c r="A14" t="inlineStr">
        <is>
          <t>2026-01-27</t>
        </is>
      </c>
      <c r="B14" t="inlineStr">
        <is>
          <t>GRADE</t>
        </is>
      </c>
    </row>
    <row r="15">
      <c r="A15" t="inlineStr">
        <is>
          <t>2026-01-27</t>
        </is>
      </c>
      <c r="B15" t="inlineStr">
        <is>
          <t>OSTEO</t>
        </is>
      </c>
    </row>
    <row r="16">
      <c r="A16" t="inlineStr">
        <is>
          <t>2026-01-28</t>
        </is>
      </c>
      <c r="B16" t="inlineStr">
        <is>
          <t>GRADE</t>
        </is>
      </c>
    </row>
    <row r="17">
      <c r="A17" t="inlineStr">
        <is>
          <t>2026-01-28</t>
        </is>
      </c>
      <c r="B17" t="inlineStr">
        <is>
          <t>OSTEO</t>
        </is>
      </c>
    </row>
    <row r="18">
      <c r="A18" t="inlineStr">
        <is>
          <t>2026-01-29</t>
        </is>
      </c>
      <c r="B18" t="inlineStr">
        <is>
          <t>GRADE</t>
        </is>
      </c>
    </row>
    <row r="19">
      <c r="A19" t="inlineStr">
        <is>
          <t>2026-01-29</t>
        </is>
      </c>
      <c r="B19" t="inlineStr">
        <is>
          <t>OSTEO</t>
        </is>
      </c>
    </row>
    <row r="20">
      <c r="A20" t="inlineStr">
        <is>
          <t>2026-01-30</t>
        </is>
      </c>
      <c r="B20" t="inlineStr">
        <is>
          <t>GRADE</t>
        </is>
      </c>
    </row>
    <row r="21">
      <c r="A21" t="inlineStr">
        <is>
          <t>2026-01-30</t>
        </is>
      </c>
      <c r="B21" t="inlineStr">
        <is>
          <t>OSTEO</t>
        </is>
      </c>
    </row>
    <row r="22">
      <c r="A22" t="inlineStr">
        <is>
          <t>2026-01-31</t>
        </is>
      </c>
      <c r="B22" t="inlineStr">
        <is>
          <t>GRADE</t>
        </is>
      </c>
    </row>
    <row r="23">
      <c r="A23" t="inlineStr">
        <is>
          <t>2026-01-31</t>
        </is>
      </c>
      <c r="B23" t="inlineStr">
        <is>
          <t>OSTEO</t>
        </is>
      </c>
    </row>
    <row r="24">
      <c r="A24" t="inlineStr">
        <is>
          <t>2026-02-01</t>
        </is>
      </c>
      <c r="B24" t="inlineStr">
        <is>
          <t>GRADE</t>
        </is>
      </c>
    </row>
    <row r="25">
      <c r="A25" t="inlineStr">
        <is>
          <t>2026-02-01</t>
        </is>
      </c>
      <c r="B25" t="inlineStr">
        <is>
          <t>OSTEO</t>
        </is>
      </c>
    </row>
    <row r="26">
      <c r="A26" t="inlineStr">
        <is>
          <t>2026-02-02</t>
        </is>
      </c>
      <c r="B26" t="inlineStr">
        <is>
          <t>GRADE</t>
        </is>
      </c>
    </row>
    <row r="27">
      <c r="A27" t="inlineStr">
        <is>
          <t>2026-02-02</t>
        </is>
      </c>
      <c r="B27" t="inlineStr">
        <is>
          <t>OSTEO</t>
        </is>
      </c>
    </row>
    <row r="28">
      <c r="A28" t="inlineStr">
        <is>
          <t>2026-02-03</t>
        </is>
      </c>
      <c r="B28" t="inlineStr">
        <is>
          <t>GRADE</t>
        </is>
      </c>
    </row>
    <row r="29">
      <c r="A29" t="inlineStr">
        <is>
          <t>2026-02-03</t>
        </is>
      </c>
      <c r="B29" t="inlineStr">
        <is>
          <t>OSTEO</t>
        </is>
      </c>
    </row>
    <row r="30">
      <c r="A30" t="inlineStr">
        <is>
          <t>2026-02-04</t>
        </is>
      </c>
      <c r="B30" t="inlineStr">
        <is>
          <t>GRADE</t>
        </is>
      </c>
    </row>
    <row r="31">
      <c r="A31" t="inlineStr">
        <is>
          <t>2026-02-04</t>
        </is>
      </c>
      <c r="B31" t="inlineStr">
        <is>
          <t>OSTEO</t>
        </is>
      </c>
    </row>
    <row r="32">
      <c r="A32" t="inlineStr">
        <is>
          <t>2026-02-05</t>
        </is>
      </c>
      <c r="B32" t="inlineStr">
        <is>
          <t>GRADE</t>
        </is>
      </c>
    </row>
    <row r="33">
      <c r="A33" t="inlineStr">
        <is>
          <t>2026-02-05</t>
        </is>
      </c>
      <c r="B33" t="inlineStr">
        <is>
          <t>OSTEO</t>
        </is>
      </c>
    </row>
    <row r="34">
      <c r="A34" t="inlineStr">
        <is>
          <t>2026-02-06</t>
        </is>
      </c>
      <c r="B34" t="inlineStr">
        <is>
          <t>GRADE</t>
        </is>
      </c>
    </row>
    <row r="35">
      <c r="A35" t="inlineStr">
        <is>
          <t>2026-02-06</t>
        </is>
      </c>
      <c r="B35" t="inlineStr">
        <is>
          <t>OSTEO</t>
        </is>
      </c>
    </row>
    <row r="36">
      <c r="A36" t="inlineStr">
        <is>
          <t>2026-02-07</t>
        </is>
      </c>
      <c r="B36" t="inlineStr">
        <is>
          <t>GRADE</t>
        </is>
      </c>
    </row>
    <row r="37">
      <c r="A37" t="inlineStr">
        <is>
          <t>2026-02-07</t>
        </is>
      </c>
      <c r="B37" t="inlineStr">
        <is>
          <t>OSTEO</t>
        </is>
      </c>
    </row>
    <row r="38">
      <c r="A38" t="inlineStr">
        <is>
          <t>2026-02-08</t>
        </is>
      </c>
      <c r="B38" t="inlineStr">
        <is>
          <t>GRADE</t>
        </is>
      </c>
    </row>
    <row r="39">
      <c r="A39" t="inlineStr">
        <is>
          <t>2026-02-08</t>
        </is>
      </c>
      <c r="B39" t="inlineStr">
        <is>
          <t>OSTEO</t>
        </is>
      </c>
    </row>
    <row r="40">
      <c r="A40" t="inlineStr">
        <is>
          <t>2026-02-09</t>
        </is>
      </c>
      <c r="B40" t="inlineStr">
        <is>
          <t>GRADE</t>
        </is>
      </c>
    </row>
    <row r="41">
      <c r="A41" t="inlineStr">
        <is>
          <t>2026-02-09</t>
        </is>
      </c>
      <c r="B41" t="inlineStr">
        <is>
          <t>OSTEO</t>
        </is>
      </c>
    </row>
    <row r="42">
      <c r="A42" t="inlineStr">
        <is>
          <t>2026-02-10</t>
        </is>
      </c>
      <c r="B42" t="inlineStr">
        <is>
          <t>GRADE</t>
        </is>
      </c>
    </row>
    <row r="43">
      <c r="A43" t="inlineStr">
        <is>
          <t>2026-02-10</t>
        </is>
      </c>
      <c r="B43" t="inlineStr">
        <is>
          <t>OSTEO</t>
        </is>
      </c>
    </row>
    <row r="44">
      <c r="A44" t="inlineStr">
        <is>
          <t>2026-02-11</t>
        </is>
      </c>
      <c r="B44" t="inlineStr">
        <is>
          <t>GRADE</t>
        </is>
      </c>
    </row>
    <row r="45">
      <c r="A45" t="inlineStr">
        <is>
          <t>2026-02-11</t>
        </is>
      </c>
      <c r="B45" t="inlineStr">
        <is>
          <t>OSTEO</t>
        </is>
      </c>
    </row>
    <row r="46">
      <c r="A46" t="inlineStr">
        <is>
          <t>2026-02-12</t>
        </is>
      </c>
      <c r="B46" t="inlineStr">
        <is>
          <t>GRADE</t>
        </is>
      </c>
    </row>
    <row r="47">
      <c r="A47" t="inlineStr">
        <is>
          <t>2026-02-12</t>
        </is>
      </c>
      <c r="B47" t="inlineStr">
        <is>
          <t>OSTEO</t>
        </is>
      </c>
    </row>
    <row r="48">
      <c r="A48" t="inlineStr">
        <is>
          <t>2026-02-13</t>
        </is>
      </c>
      <c r="B48" t="inlineStr">
        <is>
          <t>GRADE</t>
        </is>
      </c>
    </row>
    <row r="49">
      <c r="A49" t="inlineStr">
        <is>
          <t>2026-02-13</t>
        </is>
      </c>
      <c r="B49" t="inlineStr">
        <is>
          <t>OSTEO</t>
        </is>
      </c>
    </row>
    <row r="50">
      <c r="A50" t="inlineStr">
        <is>
          <t>2026-02-14</t>
        </is>
      </c>
      <c r="B50" t="inlineStr">
        <is>
          <t>GRADE</t>
        </is>
      </c>
    </row>
    <row r="51">
      <c r="A51" t="inlineStr">
        <is>
          <t>2026-02-14</t>
        </is>
      </c>
      <c r="B51" t="inlineStr">
        <is>
          <t>OSTEO</t>
        </is>
      </c>
    </row>
    <row r="52">
      <c r="A52" t="inlineStr">
        <is>
          <t>2026-02-15</t>
        </is>
      </c>
      <c r="B52" t="inlineStr">
        <is>
          <t>GRADE</t>
        </is>
      </c>
    </row>
    <row r="53">
      <c r="A53" t="inlineStr">
        <is>
          <t>2026-02-15</t>
        </is>
      </c>
      <c r="B53" t="inlineStr">
        <is>
          <t>OSTEO</t>
        </is>
      </c>
    </row>
    <row r="54">
      <c r="A54" t="inlineStr">
        <is>
          <t>2026-02-16</t>
        </is>
      </c>
      <c r="B54" t="inlineStr">
        <is>
          <t>GRADE</t>
        </is>
      </c>
    </row>
    <row r="55">
      <c r="A55" t="inlineStr">
        <is>
          <t>2026-02-16</t>
        </is>
      </c>
      <c r="B55" t="inlineStr">
        <is>
          <t>OSTEO</t>
        </is>
      </c>
    </row>
    <row r="56">
      <c r="A56" t="inlineStr">
        <is>
          <t>2026-02-17</t>
        </is>
      </c>
      <c r="B56" t="inlineStr">
        <is>
          <t>GRADE</t>
        </is>
      </c>
    </row>
    <row r="57">
      <c r="A57" t="inlineStr">
        <is>
          <t>2026-02-17</t>
        </is>
      </c>
      <c r="B57" t="inlineStr">
        <is>
          <t>OSTEO</t>
        </is>
      </c>
    </row>
    <row r="58">
      <c r="A58" t="inlineStr">
        <is>
          <t>2026-02-18</t>
        </is>
      </c>
      <c r="B58" t="inlineStr">
        <is>
          <t>GRADE</t>
        </is>
      </c>
    </row>
    <row r="59">
      <c r="A59" t="inlineStr">
        <is>
          <t>2026-02-18</t>
        </is>
      </c>
      <c r="B59" t="inlineStr">
        <is>
          <t>OSTEO</t>
        </is>
      </c>
    </row>
    <row r="60">
      <c r="A60" t="inlineStr">
        <is>
          <t>2026-02-19</t>
        </is>
      </c>
      <c r="B60" t="inlineStr">
        <is>
          <t>GRADE</t>
        </is>
      </c>
    </row>
    <row r="61">
      <c r="A61" t="inlineStr">
        <is>
          <t>2026-02-19</t>
        </is>
      </c>
      <c r="B61" t="inlineStr">
        <is>
          <t>OSTEO</t>
        </is>
      </c>
    </row>
    <row r="62">
      <c r="A62" t="inlineStr">
        <is>
          <t>2026-02-20</t>
        </is>
      </c>
      <c r="B62" t="inlineStr">
        <is>
          <t>GRADE</t>
        </is>
      </c>
    </row>
    <row r="63">
      <c r="A63" t="inlineStr">
        <is>
          <t>2026-02-20</t>
        </is>
      </c>
      <c r="B63" t="inlineStr">
        <is>
          <t>OSTEO</t>
        </is>
      </c>
    </row>
  </sheetData>
  <dataValidations count="1">
    <dataValidation sqref="G2:G6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J6" sqref="J6"/>
    </sheetView>
  </sheetViews>
  <sheetFormatPr baseColWidth="8" defaultRowHeight="14.4"/>
  <cols>
    <col width="10" customWidth="1" style="9" min="1" max="5"/>
    <col width="58.44140625" bestFit="1" customWidth="1" style="9" min="6" max="6"/>
    <col width="10" customWidth="1" style="9" min="7" max="7"/>
    <col width="13" customWidth="1" style="9" min="8" max="9"/>
    <col width="12" customWidth="1" style="9" min="10" max="10"/>
    <col width="10" customWidth="1" style="9" min="11" max="11"/>
  </cols>
  <sheetData>
    <row r="1">
      <c r="A1" s="1" t="inlineStr">
        <is>
          <t>Issue_ID</t>
        </is>
      </c>
      <c r="B1" s="1" t="inlineStr">
        <is>
          <t>Deck_ID</t>
        </is>
      </c>
      <c r="C1" s="1" t="inlineStr">
        <is>
          <t>Slide_ID</t>
        </is>
      </c>
      <c r="D1" s="1" t="inlineStr">
        <is>
          <t>Priority</t>
        </is>
      </c>
      <c r="E1" s="1" t="inlineStr">
        <is>
          <t>Type</t>
        </is>
      </c>
      <c r="F1" s="1" t="inlineStr">
        <is>
          <t>Description</t>
        </is>
      </c>
      <c r="G1" s="1" t="inlineStr">
        <is>
          <t>Status</t>
        </is>
      </c>
      <c r="H1" s="1" t="inlineStr">
        <is>
          <t>Date_Opened</t>
        </is>
      </c>
      <c r="I1" s="1" t="inlineStr">
        <is>
          <t>Date_Closed</t>
        </is>
      </c>
      <c r="J1" s="1" t="inlineStr">
        <is>
          <t>Owner</t>
        </is>
      </c>
      <c r="K1" s="1" t="inlineStr">
        <is>
          <t>Notes</t>
        </is>
      </c>
    </row>
    <row r="2">
      <c r="A2" t="inlineStr">
        <is>
          <t>ISS-001</t>
        </is>
      </c>
      <c r="B2" t="inlineStr">
        <is>
          <t>GRADE</t>
        </is>
      </c>
      <c r="C2" t="inlineStr">
        <is>
          <t>S01</t>
        </is>
      </c>
      <c r="D2" t="inlineStr">
        <is>
          <t>P0</t>
        </is>
      </c>
      <c r="E2" t="inlineStr">
        <is>
          <t>Visual</t>
        </is>
      </c>
      <c r="F2" t="inlineStr">
        <is>
          <t>Footer text invisible (navy on navy)</t>
        </is>
      </c>
      <c r="G2" t="inlineStr">
        <is>
          <t>Closed</t>
        </is>
      </c>
      <c r="H2" t="inlineStr">
        <is>
          <t>2026-01-21</t>
        </is>
      </c>
      <c r="I2" s="11" t="n">
        <v>46044</v>
      </c>
      <c r="J2" t="inlineStr">
        <is>
          <t>Claude Dev</t>
        </is>
      </c>
      <c r="K2" t="inlineStr">
        <is>
          <t>Ajuste de contraste: rodapé em gold com peso maior (visível em palco + PDF).</t>
        </is>
      </c>
    </row>
    <row r="3">
      <c r="A3" t="inlineStr">
        <is>
          <t>ISS-002</t>
        </is>
      </c>
      <c r="B3" t="inlineStr">
        <is>
          <t>GRADE</t>
        </is>
      </c>
      <c r="C3" t="inlineStr">
        <is>
          <t>S03</t>
        </is>
      </c>
      <c r="D3" t="inlineStr">
        <is>
          <t>P0</t>
        </is>
      </c>
      <c r="E3" t="inlineStr">
        <is>
          <t>Visual</t>
        </is>
      </c>
      <c r="F3" t="inlineStr">
        <is>
          <t>Falta de visibilidade em header navy (contraste excessivo- em outros)</t>
        </is>
      </c>
      <c r="G3" t="inlineStr">
        <is>
          <t>Closed</t>
        </is>
      </c>
      <c r="H3" t="inlineStr">
        <is>
          <t>2026-01-21</t>
        </is>
      </c>
      <c r="I3" s="11" t="n">
        <v>46044</v>
      </c>
      <c r="J3" t="inlineStr">
        <is>
          <t>Dev</t>
        </is>
      </c>
      <c r="K3" t="inlineStr">
        <is>
          <t>Slide S03 refeito com tokens + hierarquia; contraste e legibilidade normalizados.</t>
        </is>
      </c>
    </row>
    <row r="4">
      <c r="A4" t="inlineStr">
        <is>
          <t>ISS-003</t>
        </is>
      </c>
      <c r="B4" t="inlineStr">
        <is>
          <t>GRADE</t>
        </is>
      </c>
      <c r="C4" t="inlineStr">
        <is>
          <t>(multi)</t>
        </is>
      </c>
      <c r="D4" t="inlineStr">
        <is>
          <t>P0</t>
        </is>
      </c>
      <c r="E4" t="inlineStr">
        <is>
          <t>Visual</t>
        </is>
      </c>
      <c r="F4" t="inlineStr">
        <is>
          <t>Uso inválido de rgba(var(--gold), alpha) + gold hardcoded em vários slides (tints quebrados).</t>
        </is>
      </c>
      <c r="G4" t="inlineStr">
        <is>
          <t>Closed</t>
        </is>
      </c>
      <c r="H4" s="11" t="n">
        <v>46044</v>
      </c>
      <c r="I4" s="11" t="n">
        <v>46044</v>
      </c>
      <c r="J4" t="inlineStr">
        <is>
          <t>Dev</t>
        </is>
      </c>
      <c r="K4" t="inlineStr">
        <is>
          <t>Padronizado para rgba(var(--gold-rgb), a) + tokens RGB; removidos RGB hardcoded.</t>
        </is>
      </c>
    </row>
    <row r="5">
      <c r="A5" t="inlineStr">
        <is>
          <t>ISS-004</t>
        </is>
      </c>
      <c r="B5" t="inlineStr">
        <is>
          <t>GRADE</t>
        </is>
      </c>
      <c r="C5" t="inlineStr">
        <is>
          <t>(global)</t>
        </is>
      </c>
      <c r="D5" t="inlineStr">
        <is>
          <t>P0</t>
        </is>
      </c>
      <c r="E5" t="inlineStr">
        <is>
          <t>Tech</t>
        </is>
      </c>
      <c r="F5" t="inlineStr">
        <is>
          <t>Print/PDF em A4 + regras agressivas de position quebravam layout (não-PPT).</t>
        </is>
      </c>
      <c r="G5" t="inlineStr">
        <is>
          <t>Closed</t>
        </is>
      </c>
      <c r="H5" s="11" t="n">
        <v>46044</v>
      </c>
      <c r="I5" s="11" t="n">
        <v>46044</v>
      </c>
      <c r="J5" t="inlineStr">
        <is>
          <t>Dev</t>
        </is>
      </c>
      <c r="K5" t="inlineStr">
        <is>
          <t>Novo print.css: 16:9 (13.333in x 7.5in), 1 slide por página, preserva layout.</t>
        </is>
      </c>
    </row>
    <row r="6">
      <c r="A6" t="inlineStr">
        <is>
          <t>ISS-005</t>
        </is>
      </c>
      <c r="B6" t="inlineStr">
        <is>
          <t>GRADE</t>
        </is>
      </c>
      <c r="C6" t="inlineStr">
        <is>
          <t>(viewer)</t>
        </is>
      </c>
      <c r="D6" t="inlineStr">
        <is>
          <t>P1</t>
        </is>
      </c>
      <c r="E6" t="inlineStr">
        <is>
          <t>Enhancement</t>
        </is>
      </c>
      <c r="F6" t="inlineStr">
        <is>
          <t>Viewer sem deep-link (#Sxx) e sem navegação por clique/swipe (ergonomia de ensaio).</t>
        </is>
      </c>
      <c r="G6" t="inlineStr">
        <is>
          <t>Closed</t>
        </is>
      </c>
      <c r="H6" s="11" t="n">
        <v>46044</v>
      </c>
      <c r="I6" s="11" t="n">
        <v>46044</v>
      </c>
      <c r="J6" t="inlineStr">
        <is>
          <t>Dev</t>
        </is>
      </c>
      <c r="K6" t="inlineStr">
        <is>
          <t>slides-simple.js: lê _list.txt, hash navigation, click e touch swipe, Home/End.</t>
        </is>
      </c>
    </row>
    <row r="7">
      <c r="A7" t="inlineStr">
        <is>
          <t>ISS-006</t>
        </is>
      </c>
      <c r="B7" t="inlineStr">
        <is>
          <t>GRADE</t>
        </is>
      </c>
      <c r="C7" t="inlineStr">
        <is>
          <t>(global)</t>
        </is>
      </c>
      <c r="D7" t="inlineStr">
        <is>
          <t>P0</t>
        </is>
      </c>
      <c r="G7" t="inlineStr">
        <is>
          <t>Closed</t>
        </is>
      </c>
      <c r="J7" t="inlineStr">
        <is>
          <t>Dev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3" customWidth="1" style="9" min="1" max="1"/>
    <col width="10" customWidth="1" style="9" min="2" max="4"/>
    <col width="13" customWidth="1" style="9" min="5" max="5"/>
    <col width="14" customWidth="1" style="9" min="6" max="6"/>
    <col width="10" customWidth="1" style="9" min="7" max="9"/>
    <col width="15" customWidth="1" style="9" min="10" max="10"/>
  </cols>
  <sheetData>
    <row r="1">
      <c r="A1" s="1" t="inlineStr">
        <is>
          <t>Evidence_ID</t>
        </is>
      </c>
      <c r="B1" s="1" t="inlineStr">
        <is>
          <t>Deck_ID</t>
        </is>
      </c>
      <c r="C1" s="1" t="inlineStr">
        <is>
          <t>Slide_ID</t>
        </is>
      </c>
      <c r="D1" s="1" t="inlineStr">
        <is>
          <t>Claim</t>
        </is>
      </c>
      <c r="E1" s="1" t="inlineStr">
        <is>
          <t>Source_Type</t>
        </is>
      </c>
      <c r="F1" s="1" t="inlineStr">
        <is>
          <t>PMID_DOI_URL</t>
        </is>
      </c>
      <c r="G1" s="1" t="inlineStr">
        <is>
          <t>Key_Note</t>
        </is>
      </c>
      <c r="H1" s="1" t="inlineStr">
        <is>
          <t>Verified</t>
        </is>
      </c>
      <c r="I1" s="1" t="inlineStr">
        <is>
          <t>Reviewer</t>
        </is>
      </c>
      <c r="J1" s="1" t="inlineStr">
        <is>
          <t>Date_Verified</t>
        </is>
      </c>
    </row>
    <row r="2">
      <c r="A2" t="inlineStr">
        <is>
          <t>EV-001</t>
        </is>
      </c>
      <c r="B2" t="inlineStr">
        <is>
          <t>GRADE</t>
        </is>
      </c>
      <c r="E2" t="inlineStr">
        <is>
          <t>Guideline</t>
        </is>
      </c>
      <c r="H2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2" topLeftCell="A3" activePane="bottomLeft" state="frozen"/>
      <selection pane="bottomLeft" activeCell="A1" sqref="A1:H1"/>
    </sheetView>
  </sheetViews>
  <sheetFormatPr baseColWidth="8" defaultRowHeight="14.4"/>
  <cols>
    <col width="22" customWidth="1" style="9" min="1" max="1"/>
    <col width="16" customWidth="1" style="9" min="2" max="8"/>
  </cols>
  <sheetData>
    <row r="1" ht="18" customHeight="1" s="9">
      <c r="A1" s="8" t="inlineStr">
        <is>
          <t>Aulas_Core MVP Dashboard (Excel-only)</t>
        </is>
      </c>
    </row>
    <row r="2">
      <c r="A2" s="1" t="inlineStr">
        <is>
          <t>Deck</t>
        </is>
      </c>
      <c r="B2" s="1" t="inlineStr">
        <is>
          <t>Planned Slides</t>
        </is>
      </c>
      <c r="C2" s="1" t="inlineStr">
        <is>
          <t>True READY</t>
        </is>
      </c>
      <c r="D2" s="1" t="inlineStr">
        <is>
          <t>% Complete</t>
        </is>
      </c>
      <c r="E2" s="1" t="inlineStr">
        <is>
          <t>P0 Open</t>
        </is>
      </c>
      <c r="F2" s="1" t="inlineStr">
        <is>
          <t>PDF Pending</t>
        </is>
      </c>
      <c r="G2" s="1" t="inlineStr">
        <is>
          <t>Evidence Pending</t>
        </is>
      </c>
      <c r="H2" s="1" t="inlineStr">
        <is>
          <t>Avg Visual</t>
        </is>
      </c>
    </row>
    <row r="3">
      <c r="A3" t="inlineStr">
        <is>
          <t>GRADE</t>
        </is>
      </c>
      <c r="B3">
        <f>IFERROR(VLOOKUP(A3,Decks!A:G,4,FALSE),0)</f>
        <v/>
      </c>
      <c r="C3">
        <f>COUNTIFS(Slides!A:A,A3,Slides!E:E,"READY",Slides!F:F,"No",Slides!G:G,"Yes",Slides!H:H,"Yes")</f>
        <v/>
      </c>
      <c r="D3" s="2">
        <f>IF(B3=0,"",C3/B3)</f>
        <v/>
      </c>
      <c r="E3">
        <f>COUNTIFS(Slides!A:A,A3,Slides!F:F,"Yes")</f>
        <v/>
      </c>
      <c r="F3">
        <f>COUNTIFS(Slides!A:A,A3,Slides!G:G,"No")</f>
        <v/>
      </c>
      <c r="G3">
        <f>COUNTIFS(Slides!A:A,A3,Slides!H:H,"No")</f>
        <v/>
      </c>
      <c r="H3">
        <f>IFERROR(AVERAGEIFS(Slides!J:J,Slides!A:A,A3,Slides!J:J,"&gt;=0"),"")</f>
        <v/>
      </c>
    </row>
    <row r="4">
      <c r="A4" t="inlineStr">
        <is>
          <t>OSTEO</t>
        </is>
      </c>
      <c r="B4">
        <f>IFERROR(VLOOKUP(A4,Decks!A:G,4,FALSE),0)</f>
        <v/>
      </c>
      <c r="C4">
        <f>COUNTIFS(Slides!A:A,A4,Slides!E:E,"READY",Slides!F:F,"No",Slides!G:G,"Yes",Slides!H:H,"Yes")</f>
        <v/>
      </c>
      <c r="D4" s="2">
        <f>IF(B4=0,"",C4/B4)</f>
        <v/>
      </c>
      <c r="E4">
        <f>COUNTIFS(Slides!A:A,A4,Slides!F:F,"Yes")</f>
        <v/>
      </c>
      <c r="F4">
        <f>COUNTIFS(Slides!A:A,A4,Slides!G:G,"No")</f>
        <v/>
      </c>
      <c r="G4">
        <f>COUNTIFS(Slides!A:A,A4,Slides!H:H,"No")</f>
        <v/>
      </c>
      <c r="H4">
        <f>IFERROR(AVERAGEIFS(Slides!J:J,Slides!A:A,A4,Slides!J:J,"&gt;=0"),"")</f>
        <v/>
      </c>
    </row>
    <row r="7">
      <c r="A7" s="3" t="inlineStr">
        <is>
          <t>GRADE Pace to Feb 10, 2026</t>
        </is>
      </c>
    </row>
    <row r="8">
      <c r="A8" t="inlineStr">
        <is>
          <t>Days remaining (incl. today)</t>
        </is>
      </c>
      <c r="B8">
        <f>MAX(1,DATE(2026,2,10)-TODAY()+1)</f>
        <v/>
      </c>
    </row>
    <row r="9">
      <c r="A9" t="inlineStr">
        <is>
          <t>Slides remaining</t>
        </is>
      </c>
      <c r="B9">
        <f>VLOOKUP("GRADE",Dashboard!A:D,2,FALSE)-VLOOKUP("GRADE",Dashboard!A:D,3,FALSE)</f>
        <v/>
      </c>
    </row>
    <row r="10">
      <c r="A10" t="inlineStr">
        <is>
          <t>Required True READY / day</t>
        </is>
      </c>
      <c r="B10" s="4">
        <f>IF(B8&lt;=0,"",B9/B8)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2" sqref="A12"/>
    </sheetView>
  </sheetViews>
  <sheetFormatPr baseColWidth="8" defaultRowHeight="14.4"/>
  <cols>
    <col width="120" customWidth="1" style="9" min="1" max="1"/>
  </cols>
  <sheetData>
    <row r="1" ht="15.6" customHeight="1" s="9">
      <c r="A1" s="5" t="inlineStr">
        <is>
          <t>How to use (2-minute routine)</t>
        </is>
      </c>
    </row>
    <row r="3">
      <c r="A3" s="6" t="inlineStr">
        <is>
          <t>1) Daily (3–5 min): Go to Daily sheet and fill Actual_Min, Slides_Ready_Today, PDF_Export_Pass, Study_Min, Energy_1_5, Notes.</t>
        </is>
      </c>
    </row>
    <row r="4">
      <c r="A4" s="6" t="inlineStr">
        <is>
          <t>2) Every session (10–20 min): Update Slides sheet for the slides you touched: Status, P0, PDF_OK, Evidence_OK, Visual_0_10, Notes.</t>
        </is>
      </c>
    </row>
    <row r="5">
      <c r="A5" s="6" t="inlineStr">
        <is>
          <t>3) Dashboard updates automatically. 'True READY' counts only slides with Status=READY AND P0=No AND PDF_OK=Yes AND Evidence_OK=Yes.</t>
        </is>
      </c>
    </row>
    <row r="6" ht="28.8" customHeight="1" s="9">
      <c r="A6" s="6" t="inlineStr">
        <is>
          <t>4) For GRADE MVP, focus on eliminating P0 and getting PDF_OK=Yes for all slides. Evidence_OK must be Yes for any slide with numbers/guidelines.</t>
        </is>
      </c>
    </row>
    <row r="7">
      <c r="A7" s="6" t="inlineStr">
        <is>
          <t>5) Osteoporose is tracked but should remain HOLD until after MVP (per repo protocol).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2026-01-21T18:20:08Z</dcterms:created>
  <dcterms:modified xmlns:dcterms="http://purl.org/dc/terms/" xmlns:xsi="http://www.w3.org/2001/XMLSchema-instance" xsi:type="dcterms:W3CDTF">2026-01-22T21:38:37Z</dcterms:modified>
  <cp:lastModifiedBy>Lucas Miachon</cp:lastModifiedBy>
</cp:coreProperties>
</file>